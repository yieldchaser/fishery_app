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ampi (Prawn)" sheetId="2" state="visible" r:id="rId2"/>
    <sheet xmlns:r="http://schemas.openxmlformats.org/officeDocument/2006/relationships" name="Rohu" sheetId="3" state="visible" r:id="rId3"/>
    <sheet xmlns:r="http://schemas.openxmlformats.org/officeDocument/2006/relationships" name="Catla" sheetId="4" state="visible" r:id="rId4"/>
    <sheet xmlns:r="http://schemas.openxmlformats.org/officeDocument/2006/relationships" name="Mrigal" sheetId="5" state="visible" r:id="rId5"/>
    <sheet xmlns:r="http://schemas.openxmlformats.org/officeDocument/2006/relationships" name="Pangasius" sheetId="6" state="visible" r:id="rId6"/>
    <sheet xmlns:r="http://schemas.openxmlformats.org/officeDocument/2006/relationships" name="Vannamei Shrimp" sheetId="7" state="visible" r:id="rId7"/>
    <sheet xmlns:r="http://schemas.openxmlformats.org/officeDocument/2006/relationships" name="Tilapia" sheetId="8" state="visible" r:id="rId8"/>
    <sheet xmlns:r="http://schemas.openxmlformats.org/officeDocument/2006/relationships" name="Black Tiger Shrim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D47A1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D47A1"/>
      <sz val="9"/>
    </font>
    <font>
      <name val="Arial"/>
      <b val="1"/>
      <color rgb="00FFFFFF"/>
      <sz val="10"/>
    </font>
    <font>
      <name val="Arial"/>
      <color rgb="00212121"/>
      <sz val="10"/>
    </font>
    <font>
      <name val="Arial"/>
      <color rgb="00000000"/>
      <sz val="10"/>
    </font>
    <font>
      <name val="Arial"/>
      <b val="1"/>
      <color rgb="00212121"/>
      <sz val="10"/>
    </font>
    <font>
      <name val="Arial"/>
      <b val="1"/>
      <color rgb="001B5E20"/>
      <sz val="10"/>
    </font>
    <font>
      <name val="Arial"/>
      <b val="1"/>
      <i val="1"/>
      <color rgb="00212121"/>
      <sz val="10"/>
    </font>
    <font>
      <name val="Arial"/>
      <b val="1"/>
      <color rgb="00B71C1C"/>
      <sz val="10"/>
    </font>
    <font>
      <name val="Arial"/>
      <b val="1"/>
      <color rgb="001B5E20"/>
      <sz val="11"/>
    </font>
    <font>
      <name val="Arial"/>
      <b val="1"/>
      <color rgb="002E7D32"/>
      <sz val="11"/>
    </font>
    <font>
      <name val="Arial"/>
      <i val="1"/>
      <color rgb="0037474F"/>
      <sz val="9"/>
    </font>
    <font>
      <name val="Arial"/>
      <b val="1"/>
      <color rgb="00FFFFFF"/>
      <sz val="14"/>
    </font>
    <font>
      <name val="Arial"/>
      <i val="1"/>
      <color rgb="00000000"/>
      <sz val="9"/>
    </font>
    <font>
      <name val="Arial"/>
      <b val="1"/>
      <color rgb="001B5E20"/>
      <sz val="9"/>
    </font>
    <font>
      <name val="Arial"/>
      <b val="1"/>
      <color rgb="00B71C1C"/>
      <sz val="9"/>
    </font>
    <font>
      <name val="Arial"/>
      <i val="1"/>
      <color rgb="00666666"/>
      <sz val="8"/>
    </font>
  </fonts>
  <fills count="24">
    <fill>
      <patternFill/>
    </fill>
    <fill>
      <patternFill patternType="gray125"/>
    </fill>
    <fill>
      <patternFill patternType="solid">
        <fgColor rgb="001A535C"/>
      </patternFill>
    </fill>
    <fill>
      <patternFill patternType="solid">
        <fgColor rgb="0037474F"/>
      </patternFill>
    </fill>
    <fill>
      <patternFill patternType="solid">
        <fgColor rgb="00E65100"/>
      </patternFill>
    </fill>
    <fill>
      <patternFill patternType="solid">
        <fgColor rgb="00FFE8DC"/>
      </patternFill>
    </fill>
    <fill>
      <patternFill patternType="solid">
        <fgColor rgb="00FFF9C4"/>
      </patternFill>
    </fill>
    <fill>
      <patternFill patternType="solid">
        <fgColor rgb="004A148C"/>
      </patternFill>
    </fill>
    <fill>
      <patternFill patternType="solid">
        <fgColor rgb="007B1FA2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BF360C"/>
      </patternFill>
    </fill>
    <fill>
      <patternFill patternType="solid">
        <fgColor rgb="00E64A19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004D40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C7F5F2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9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20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center" vertical="center"/>
    </xf>
    <xf numFmtId="0" fontId="21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3" fontId="5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right" vertical="center"/>
    </xf>
    <xf numFmtId="164" fontId="3" fillId="11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indent="2"/>
    </xf>
    <xf numFmtId="0" fontId="11" fillId="9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2"/>
    </xf>
    <xf numFmtId="0" fontId="13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left" vertical="center" indent="2"/>
    </xf>
    <xf numFmtId="0" fontId="15" fillId="16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right" vertical="center"/>
    </xf>
    <xf numFmtId="0" fontId="16" fillId="17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right" vertical="center"/>
    </xf>
    <xf numFmtId="0" fontId="17" fillId="18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right" vertical="center"/>
    </xf>
    <xf numFmtId="0" fontId="3" fillId="19" borderId="1" applyAlignment="1" pivotButton="0" quotePrefix="0" xfId="0">
      <alignment horizontal="right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8" fillId="2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 ht="44" customHeight="1">
      <c r="B1" s="1" t="inlineStr">
        <is>
          <t>🐟  INDIA AQUACULTURE ECONOMICS — MULTI-SPECIES INVESTMENT &amp; PROFITABILITY REPORT</t>
        </is>
      </c>
    </row>
    <row r="2" ht="20" customHeight="1">
      <c r="B2" s="2" t="inlineStr">
        <is>
          <t>Per Hectare Analysis  |  Capital Investment + Operational Costs + Gross Profit + Net Profit  |  INR</t>
        </is>
      </c>
    </row>
    <row r="3" ht="8" customHeight="1"/>
    <row r="4" ht="34" customHeight="1">
      <c r="B4" s="3" t="inlineStr">
        <is>
          <t>Species / Common Name</t>
        </is>
      </c>
      <c r="C4" s="3" t="inlineStr">
        <is>
          <t>Scientific Name</t>
        </is>
      </c>
      <c r="D4" s="3" t="inlineStr">
        <is>
          <t>Duration
(months)</t>
        </is>
      </c>
      <c r="E4" s="3" t="inlineStr">
        <is>
          <t>Capital Inv.
(₹ lakh)</t>
        </is>
      </c>
      <c r="F4" s="3" t="inlineStr">
        <is>
          <t>Operational
Cost/Crop (₹ lakh)</t>
        </is>
      </c>
      <c r="G4" s="3" t="inlineStr">
        <is>
          <t>Gross Revenue
(₹ lakh)</t>
        </is>
      </c>
      <c r="H4" s="3" t="inlineStr">
        <is>
          <t>Gross Profit
(₹ lakh)</t>
        </is>
      </c>
      <c r="I4" s="3" t="inlineStr">
        <is>
          <t>Net Profit/Crop
(₹ lakh)</t>
        </is>
      </c>
      <c r="J4" s="3" t="inlineStr">
        <is>
          <t>Crops/Year &amp; Annual Net</t>
        </is>
      </c>
    </row>
    <row r="5" ht="20" customHeight="1">
      <c r="B5" s="4" t="inlineStr">
        <is>
          <t>Scampi / Giant Freshwater Prawn</t>
        </is>
      </c>
      <c r="C5" s="5" t="inlineStr">
        <is>
          <t>Macrobrachium rosenbergii</t>
        </is>
      </c>
      <c r="D5" s="6" t="n">
        <v>12</v>
      </c>
      <c r="E5" s="6" t="n">
        <v>4.57</v>
      </c>
      <c r="F5" s="6" t="n">
        <v>16.1</v>
      </c>
      <c r="G5" s="6" t="n">
        <v>22.68</v>
      </c>
      <c r="H5" s="7" t="n">
        <v>6.58</v>
      </c>
      <c r="I5" s="8" t="n">
        <v>2.01</v>
      </c>
      <c r="J5" s="9" t="inlineStr">
        <is>
          <t>1 / ₹2.0L p.a.</t>
        </is>
      </c>
    </row>
    <row r="6" ht="20" customHeight="1">
      <c r="B6" s="10" t="inlineStr">
        <is>
          <t>Rohu (Rui / Rohit)</t>
        </is>
      </c>
      <c r="C6" s="11" t="inlineStr">
        <is>
          <t>Labeo rohita</t>
        </is>
      </c>
      <c r="D6" s="12" t="n">
        <v>6</v>
      </c>
      <c r="E6" s="12" t="n">
        <v>2.61</v>
      </c>
      <c r="F6" s="12" t="n">
        <v>1.69</v>
      </c>
      <c r="G6" s="12" t="n">
        <v>6.6</v>
      </c>
      <c r="H6" s="13" t="n">
        <v>4.91</v>
      </c>
      <c r="I6" s="14" t="n">
        <v>2.3</v>
      </c>
      <c r="J6" s="15" t="inlineStr">
        <is>
          <t>2 / ₹7.2L p.a.</t>
        </is>
      </c>
    </row>
    <row r="7" ht="20" customHeight="1">
      <c r="B7" s="4" t="inlineStr">
        <is>
          <t>Catla (Bhakura / Katla)</t>
        </is>
      </c>
      <c r="C7" s="5" t="inlineStr">
        <is>
          <t>Catla catla (Labeo catla)</t>
        </is>
      </c>
      <c r="D7" s="6" t="n">
        <v>12</v>
      </c>
      <c r="E7" s="6" t="n">
        <v>2.81</v>
      </c>
      <c r="F7" s="6" t="n">
        <v>2.86</v>
      </c>
      <c r="G7" s="6" t="n">
        <v>18.9</v>
      </c>
      <c r="H7" s="7" t="n">
        <v>16.04</v>
      </c>
      <c r="I7" s="8" t="n">
        <v>13.23</v>
      </c>
      <c r="J7" s="9" t="inlineStr">
        <is>
          <t>1 / ₹13.2L p.a.</t>
        </is>
      </c>
    </row>
    <row r="8" ht="20" customHeight="1">
      <c r="B8" s="10" t="inlineStr">
        <is>
          <t>Mrigal (Nain / White Carp)</t>
        </is>
      </c>
      <c r="C8" s="11" t="inlineStr">
        <is>
          <t>Cirrhinus mrigala</t>
        </is>
      </c>
      <c r="D8" s="12" t="n">
        <v>12</v>
      </c>
      <c r="E8" s="12" t="n">
        <v>1.95</v>
      </c>
      <c r="F8" s="12" t="n">
        <v>1.92</v>
      </c>
      <c r="G8" s="12" t="n">
        <v>7.68</v>
      </c>
      <c r="H8" s="13" t="n">
        <v>5.76</v>
      </c>
      <c r="I8" s="14" t="n">
        <v>3.81</v>
      </c>
      <c r="J8" s="15" t="inlineStr">
        <is>
          <t>1 / ₹3.8L p.a.</t>
        </is>
      </c>
    </row>
    <row r="9" ht="20" customHeight="1">
      <c r="B9" s="4" t="inlineStr">
        <is>
          <t>Pangasius (Basa / Swai / Pangas)</t>
        </is>
      </c>
      <c r="C9" s="5" t="inlineStr">
        <is>
          <t>Pangasionodon hypophthalmus</t>
        </is>
      </c>
      <c r="D9" s="6" t="n">
        <v>8</v>
      </c>
      <c r="E9" s="6" t="n">
        <v>3.62</v>
      </c>
      <c r="F9" s="6" t="n">
        <v>12.4</v>
      </c>
      <c r="G9" s="6" t="n">
        <v>23.8</v>
      </c>
      <c r="H9" s="7" t="n">
        <v>11.4</v>
      </c>
      <c r="I9" s="8" t="n">
        <v>7.78</v>
      </c>
      <c r="J9" s="9" t="inlineStr">
        <is>
          <t>2 / ₹19.2L p.a.</t>
        </is>
      </c>
    </row>
    <row r="10" ht="20" customHeight="1">
      <c r="B10" s="10" t="inlineStr">
        <is>
          <t>Vannamei / Pacific White-leg Shrimp</t>
        </is>
      </c>
      <c r="C10" s="11" t="inlineStr">
        <is>
          <t>Litopenaeus vannamei</t>
        </is>
      </c>
      <c r="D10" s="12" t="n">
        <v>5</v>
      </c>
      <c r="E10" s="12" t="n">
        <v>11.04</v>
      </c>
      <c r="F10" s="12" t="n">
        <v>18.97</v>
      </c>
      <c r="G10" s="12" t="n">
        <v>28</v>
      </c>
      <c r="H10" s="13" t="n">
        <v>9.029999999999999</v>
      </c>
      <c r="I10" s="16" t="n">
        <v>-2.01</v>
      </c>
      <c r="J10" s="15" t="inlineStr">
        <is>
          <t>3 / ₹16.1L p.a.</t>
        </is>
      </c>
    </row>
    <row r="11" ht="20" customHeight="1">
      <c r="B11" s="4" t="inlineStr">
        <is>
          <t>Nile Tilapia / GIFT Tilapia</t>
        </is>
      </c>
      <c r="C11" s="5" t="inlineStr">
        <is>
          <t>Oreochromis niloticus (GIFT strain)</t>
        </is>
      </c>
      <c r="D11" s="6" t="n">
        <v>5</v>
      </c>
      <c r="E11" s="6" t="n">
        <v>2.91</v>
      </c>
      <c r="F11" s="6" t="n">
        <v>5.54</v>
      </c>
      <c r="G11" s="6" t="n">
        <v>18.36</v>
      </c>
      <c r="H11" s="7" t="n">
        <v>12.82</v>
      </c>
      <c r="I11" s="8" t="n">
        <v>9.91</v>
      </c>
      <c r="J11" s="9" t="inlineStr">
        <is>
          <t>3 / ₹35.5L p.a.</t>
        </is>
      </c>
    </row>
    <row r="12" ht="20" customHeight="1">
      <c r="B12" s="10" t="inlineStr">
        <is>
          <t>Black Tiger Shrimp (Jumbo Tiger / BTS)</t>
        </is>
      </c>
      <c r="C12" s="11" t="inlineStr">
        <is>
          <t>Penaeus monodon</t>
        </is>
      </c>
      <c r="D12" s="12" t="n">
        <v>5</v>
      </c>
      <c r="E12" s="12" t="n">
        <v>7.68</v>
      </c>
      <c r="F12" s="12" t="n">
        <v>13.32</v>
      </c>
      <c r="G12" s="12" t="n">
        <v>21</v>
      </c>
      <c r="H12" s="13" t="n">
        <v>7.68</v>
      </c>
      <c r="I12" s="14" t="n">
        <v>0</v>
      </c>
      <c r="J12" s="15" t="inlineStr">
        <is>
          <t>2 / ₹7.7L p.a.</t>
        </is>
      </c>
    </row>
    <row r="14" ht="10" customHeight="1"/>
    <row r="15" ht="22" customHeight="1">
      <c r="B15" s="17" t="inlineStr">
        <is>
          <t>📘  LEGEND &amp; KEY CONCEPTS</t>
        </is>
      </c>
    </row>
    <row r="16" ht="22" customHeight="1">
      <c r="B16" s="18" t="inlineStr">
        <is>
          <t>Capital Investment (A):</t>
        </is>
      </c>
      <c r="D16" s="19" t="inlineStr">
        <is>
          <t>One-time infrastructure costs — pond construction, aerators, pumps, generator, shed. Paid upfront; not repeated every crop.</t>
        </is>
      </c>
    </row>
    <row r="17" ht="22" customHeight="1">
      <c r="B17" s="18" t="inlineStr">
        <is>
          <t>Operational Cost (B):</t>
        </is>
      </c>
      <c r="D17" s="19" t="inlineStr">
        <is>
          <t>Per-crop recurring costs — seed/PL, feed, medicines, electricity, labour, harvesting. Paid every cycle.</t>
        </is>
      </c>
    </row>
    <row r="18" ht="22" customHeight="1">
      <c r="B18" s="18" t="inlineStr">
        <is>
          <t>Gross Revenue:</t>
        </is>
      </c>
      <c r="D18" s="19" t="inlineStr">
        <is>
          <t>Total sale value = Production (kg) × Market Price (₹/kg)</t>
        </is>
      </c>
    </row>
    <row r="19" ht="22" customHeight="1">
      <c r="B19" s="18" t="inlineStr">
        <is>
          <t>Gross Profit:</t>
        </is>
      </c>
      <c r="D19" s="19" t="inlineStr">
        <is>
          <t>Gross Revenue − Operational Cost  (what you earn back each crop before recovering capital)</t>
        </is>
      </c>
    </row>
    <row r="20" ht="22" customHeight="1">
      <c r="B20" s="18" t="inlineStr">
        <is>
          <t>Net Profit / Crop:</t>
        </is>
      </c>
      <c r="D20" s="19" t="inlineStr">
        <is>
          <t>Gross Revenue − Total Investment (Capital + Operational)  — true first-crop profitability</t>
        </is>
      </c>
    </row>
    <row r="21" ht="22" customHeight="1">
      <c r="B21" s="18" t="inlineStr">
        <is>
          <t>Annual Net (p.a.):</t>
        </is>
      </c>
      <c r="D21" s="19" t="inlineStr">
        <is>
          <t>(Gross Profit × Crops/Year) − Capital  — what you earn annually once capital is deployed</t>
        </is>
      </c>
    </row>
    <row r="23" ht="40" customHeight="1">
      <c r="B23" s="20" t="inlineStr">
        <is>
          <t>⚠  All figures are estimates in Indian Rupees (INR). Data sourced from MPEDA 2023-24, ICAR-CIFA, NFDB, published peer-reviewed research (2021–2024), and agrifarming.in project reports. Actual returns depend on management, market prices, disease, and regional conditions. Scampi data matches the attached PDF exactly.</t>
        </is>
      </c>
    </row>
  </sheetData>
  <mergeCells count="16">
    <mergeCell ref="B15:J15"/>
    <mergeCell ref="B21:C21"/>
    <mergeCell ref="B16:C16"/>
    <mergeCell ref="D18:J18"/>
    <mergeCell ref="D17:J17"/>
    <mergeCell ref="B19:C19"/>
    <mergeCell ref="B20:C20"/>
    <mergeCell ref="D21:J21"/>
    <mergeCell ref="D20:J20"/>
    <mergeCell ref="B23:J23"/>
    <mergeCell ref="D16:J16"/>
    <mergeCell ref="B1:J1"/>
    <mergeCell ref="B17:C17"/>
    <mergeCell ref="B18:C18"/>
    <mergeCell ref="D19:J19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2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20" customWidth="1" min="5" max="5"/>
    <col width="16" customWidth="1" min="6" max="6"/>
    <col width="18" customWidth="1" min="7" max="7"/>
    <col width="5" customWidth="1" min="8" max="8"/>
  </cols>
  <sheetData>
    <row r="1" ht="40" customHeight="1">
      <c r="B1" s="21" t="inlineStr">
        <is>
          <t>🐟  SCAMPI / GIANT FRESHWATER PRAWN  —  DETAILED INVESTMENT &amp; ECONOMICS  (INDIA, 1 HECTARE)</t>
        </is>
      </c>
    </row>
    <row r="2" ht="18" customHeight="1">
      <c r="B2" s="2" t="inlineStr">
        <is>
          <t>Macrobrachium rosenbergii  |  Earthen Pond Monoculture  |  Water: Freshwater / Brackish</t>
        </is>
      </c>
    </row>
    <row r="4" ht="24" customHeight="1">
      <c r="B4" s="22" t="inlineStr">
        <is>
          <t>🔑  KEY BIOLOGICAL &amp; ECONOMIC PARAMETERS</t>
        </is>
      </c>
    </row>
    <row r="5" ht="20" customHeight="1">
      <c r="B5" s="18" t="inlineStr">
        <is>
          <t>Culture Duration</t>
        </is>
      </c>
      <c r="D5" s="23" t="inlineStr">
        <is>
          <t>12 months</t>
        </is>
      </c>
      <c r="E5" s="18" t="inlineStr">
        <is>
          <t>Avg. Body Weight at Harvest</t>
        </is>
      </c>
      <c r="F5" s="23" t="inlineStr">
        <is>
          <t>90 g</t>
        </is>
      </c>
    </row>
    <row r="6" ht="20" customHeight="1">
      <c r="B6" s="18" t="inlineStr">
        <is>
          <t>Survival Rate</t>
        </is>
      </c>
      <c r="D6" s="23" t="inlineStr">
        <is>
          <t>70%</t>
        </is>
      </c>
      <c r="E6" s="18" t="inlineStr">
        <is>
          <t>Stocking Density</t>
        </is>
      </c>
      <c r="F6" s="23" t="inlineStr">
        <is>
          <t>120,000 / Ha</t>
        </is>
      </c>
    </row>
    <row r="7" ht="20" customHeight="1">
      <c r="B7" s="18" t="inlineStr">
        <is>
          <t>Market Price (approx.)</t>
        </is>
      </c>
      <c r="D7" s="23" t="inlineStr">
        <is>
          <t>₹ 300 / kg</t>
        </is>
      </c>
      <c r="E7" s="18" t="inlineStr">
        <is>
          <t>Crops per Year</t>
        </is>
      </c>
      <c r="F7" s="23" t="inlineStr">
        <is>
          <t>1</t>
        </is>
      </c>
    </row>
    <row r="9" ht="6" customHeight="1"/>
    <row r="10" ht="26" customHeight="1">
      <c r="B10" s="24" t="inlineStr">
        <is>
          <t>🏗️  SECTION A — CAPITAL INVESTMENT  (One-time / Infrastructure Costs)</t>
        </is>
      </c>
    </row>
    <row r="11" ht="32" customHeight="1">
      <c r="B11" s="25" t="inlineStr">
        <is>
          <t>Sl.No</t>
        </is>
      </c>
      <c r="C11" s="25" t="inlineStr">
        <is>
          <t>Item / Description</t>
        </is>
      </c>
      <c r="D11" s="25" t="inlineStr">
        <is>
          <t>Quantity</t>
        </is>
      </c>
      <c r="E11" s="25" t="inlineStr">
        <is>
          <t>Unit / Rate</t>
        </is>
      </c>
      <c r="F11" s="25" t="inlineStr">
        <is>
          <t>Unit Price (₹)</t>
        </is>
      </c>
      <c r="G11" s="25" t="inlineStr">
        <is>
          <t>Total (₹ lakh)</t>
        </is>
      </c>
    </row>
    <row r="12" ht="18" customHeight="1">
      <c r="B12" s="12" t="n">
        <v>1</v>
      </c>
      <c r="C12" s="10" t="inlineStr">
        <is>
          <t>Pond Construction / Renovation</t>
        </is>
      </c>
      <c r="D12" s="12" t="inlineStr">
        <is>
          <t>1 Ha</t>
        </is>
      </c>
      <c r="E12" s="12" t="inlineStr">
        <is>
          <t>lumpsum</t>
        </is>
      </c>
      <c r="F12" s="26" t="n">
        <v>200000</v>
      </c>
      <c r="G12" s="27" t="n">
        <v>2</v>
      </c>
    </row>
    <row r="13" ht="18" customHeight="1">
      <c r="B13" s="28" t="n">
        <v>2</v>
      </c>
      <c r="C13" s="29" t="inlineStr">
        <is>
          <t>Water Inlet / Outlet Structures</t>
        </is>
      </c>
      <c r="D13" s="28" t="inlineStr">
        <is>
          <t>1 set</t>
        </is>
      </c>
      <c r="E13" s="28" t="inlineStr">
        <is>
          <t>lumpsum</t>
        </is>
      </c>
      <c r="F13" s="30" t="n">
        <v>50000</v>
      </c>
      <c r="G13" s="31" t="n">
        <v>0.5</v>
      </c>
    </row>
    <row r="14" ht="18" customHeight="1">
      <c r="B14" s="12" t="n">
        <v>3</v>
      </c>
      <c r="C14" s="10" t="inlineStr">
        <is>
          <t>Aerators (paddle wheel, 1 HP × 4)</t>
        </is>
      </c>
      <c r="D14" s="12" t="inlineStr">
        <is>
          <t>4 units</t>
        </is>
      </c>
      <c r="E14" s="12" t="inlineStr">
        <is>
          <t>unit</t>
        </is>
      </c>
      <c r="F14" s="26" t="n">
        <v>18000</v>
      </c>
      <c r="G14" s="27" t="n">
        <v>0.72</v>
      </c>
    </row>
    <row r="15" ht="18" customHeight="1">
      <c r="B15" s="28" t="n">
        <v>4</v>
      </c>
      <c r="C15" s="29" t="inlineStr">
        <is>
          <t>Water Pump &amp; Pipes</t>
        </is>
      </c>
      <c r="D15" s="28" t="inlineStr">
        <is>
          <t>1 set</t>
        </is>
      </c>
      <c r="E15" s="28" t="inlineStr">
        <is>
          <t>lumpsum</t>
        </is>
      </c>
      <c r="F15" s="30" t="n">
        <v>35000</v>
      </c>
      <c r="G15" s="31" t="n">
        <v>0.35</v>
      </c>
    </row>
    <row r="16" ht="18" customHeight="1">
      <c r="B16" s="12" t="n">
        <v>5</v>
      </c>
      <c r="C16" s="10" t="inlineStr">
        <is>
          <t>Generator / Power Backup</t>
        </is>
      </c>
      <c r="D16" s="12" t="inlineStr">
        <is>
          <t>1 unit</t>
        </is>
      </c>
      <c r="E16" s="12" t="inlineStr">
        <is>
          <t>unit</t>
        </is>
      </c>
      <c r="F16" s="26" t="n">
        <v>60000</v>
      </c>
      <c r="G16" s="27" t="n">
        <v>0.6</v>
      </c>
    </row>
    <row r="17" ht="18" customHeight="1">
      <c r="B17" s="28" t="n">
        <v>6</v>
      </c>
      <c r="C17" s="29" t="inlineStr">
        <is>
          <t>Storage Shed / Farm Office</t>
        </is>
      </c>
      <c r="D17" s="28" t="inlineStr">
        <is>
          <t>1 unit</t>
        </is>
      </c>
      <c r="E17" s="28" t="inlineStr">
        <is>
          <t>lumpsum</t>
        </is>
      </c>
      <c r="F17" s="30" t="n">
        <v>40000</v>
      </c>
      <c r="G17" s="31" t="n">
        <v>0.4</v>
      </c>
    </row>
    <row r="18" ht="24" customHeight="1">
      <c r="B18" s="32" t="inlineStr">
        <is>
          <t>TOTAL CAPITAL INVESTMENT (A)</t>
        </is>
      </c>
      <c r="G18" s="33" t="n">
        <v>4.57</v>
      </c>
    </row>
    <row r="20" ht="26" customHeight="1">
      <c r="B20" s="34" t="inlineStr">
        <is>
          <t>⚙️  SECTION B — OPERATIONAL COSTS  (Per Crop Recurring Costs)</t>
        </is>
      </c>
    </row>
    <row r="21" ht="32" customHeight="1">
      <c r="B21" s="35" t="inlineStr">
        <is>
          <t>Sl.No</t>
        </is>
      </c>
      <c r="C21" s="35" t="inlineStr">
        <is>
          <t>Item / Description</t>
        </is>
      </c>
      <c r="D21" s="35" t="inlineStr">
        <is>
          <t>Quantity</t>
        </is>
      </c>
      <c r="E21" s="35" t="inlineStr">
        <is>
          <t>Unit / Rate</t>
        </is>
      </c>
      <c r="F21" s="35" t="inlineStr">
        <is>
          <t>Unit Price (₹)</t>
        </is>
      </c>
      <c r="G21" s="35" t="inlineStr">
        <is>
          <t>Total (₹ lakh)</t>
        </is>
      </c>
    </row>
    <row r="22" ht="18" customHeight="1">
      <c r="B22" s="12" t="n">
        <v>1</v>
      </c>
      <c r="C22" s="10" t="inlineStr">
        <is>
          <t>Seed / PL-20 Stocking</t>
        </is>
      </c>
      <c r="D22" s="12" t="inlineStr">
        <is>
          <t>1,20,000</t>
        </is>
      </c>
      <c r="E22" s="12" t="inlineStr">
        <is>
          <t>pieces @₹2</t>
        </is>
      </c>
      <c r="F22" s="26" t="n">
        <v>2</v>
      </c>
      <c r="G22" s="27" t="n">
        <v>2.4</v>
      </c>
    </row>
    <row r="23" ht="18" customHeight="1">
      <c r="B23" s="28" t="n">
        <v>2</v>
      </c>
      <c r="C23" s="29" t="inlineStr">
        <is>
          <t>Pelleted Feed</t>
        </is>
      </c>
      <c r="D23" s="28" t="inlineStr">
        <is>
          <t>10 tons</t>
        </is>
      </c>
      <c r="E23" s="28" t="inlineStr">
        <is>
          <t>@ ₹75/kg</t>
        </is>
      </c>
      <c r="F23" s="30" t="n">
        <v>7500</v>
      </c>
      <c r="G23" s="31" t="n">
        <v>7.5</v>
      </c>
    </row>
    <row r="24" ht="18" customHeight="1">
      <c r="B24" s="12" t="n">
        <v>3</v>
      </c>
      <c r="C24" s="10" t="inlineStr">
        <is>
          <t>Feed Additives &amp; Probiotics</t>
        </is>
      </c>
      <c r="D24" s="12" t="inlineStr">
        <is>
          <t>Assumed</t>
        </is>
      </c>
      <c r="E24" s="12" t="inlineStr">
        <is>
          <t>lumpsum</t>
        </is>
      </c>
      <c r="F24" s="36" t="inlineStr">
        <is>
          <t>—</t>
        </is>
      </c>
      <c r="G24" s="27" t="n">
        <v>0.8</v>
      </c>
    </row>
    <row r="25" ht="18" customHeight="1">
      <c r="B25" s="28" t="n">
        <v>4</v>
      </c>
      <c r="C25" s="29" t="inlineStr">
        <is>
          <t>Medicines &amp; Chemicals</t>
        </is>
      </c>
      <c r="D25" s="28" t="inlineStr">
        <is>
          <t>Assumed</t>
        </is>
      </c>
      <c r="E25" s="28" t="inlineStr">
        <is>
          <t>lumpsum</t>
        </is>
      </c>
      <c r="F25" s="37" t="inlineStr">
        <is>
          <t>—</t>
        </is>
      </c>
      <c r="G25" s="31" t="n">
        <v>0.7</v>
      </c>
    </row>
    <row r="26" ht="18" customHeight="1">
      <c r="B26" s="12" t="n">
        <v>5</v>
      </c>
      <c r="C26" s="10" t="inlineStr">
        <is>
          <t>Lime &amp; Fertilizers (Pond prep)</t>
        </is>
      </c>
      <c r="D26" s="12" t="inlineStr">
        <is>
          <t>Assumed</t>
        </is>
      </c>
      <c r="E26" s="12" t="inlineStr">
        <is>
          <t>lumpsum</t>
        </is>
      </c>
      <c r="F26" s="36" t="inlineStr">
        <is>
          <t>—</t>
        </is>
      </c>
      <c r="G26" s="27" t="n">
        <v>0.25</v>
      </c>
    </row>
    <row r="27" ht="18" customHeight="1">
      <c r="B27" s="28" t="n">
        <v>6</v>
      </c>
      <c r="C27" s="29" t="inlineStr">
        <is>
          <t>Electricity Bill</t>
        </is>
      </c>
      <c r="D27" s="28" t="inlineStr">
        <is>
          <t>12 mo</t>
        </is>
      </c>
      <c r="E27" s="28" t="inlineStr">
        <is>
          <t>@ ₹15k/mo</t>
        </is>
      </c>
      <c r="F27" s="30" t="n">
        <v>15000</v>
      </c>
      <c r="G27" s="31" t="n">
        <v>1.8</v>
      </c>
    </row>
    <row r="28" ht="18" customHeight="1">
      <c r="B28" s="12" t="n">
        <v>7</v>
      </c>
      <c r="C28" s="10" t="inlineStr">
        <is>
          <t>Labour (2 workers)</t>
        </is>
      </c>
      <c r="D28" s="12" t="inlineStr">
        <is>
          <t>12 mo</t>
        </is>
      </c>
      <c r="E28" s="12" t="inlineStr">
        <is>
          <t>@ ₹12k/mo</t>
        </is>
      </c>
      <c r="F28" s="26" t="n">
        <v>12000</v>
      </c>
      <c r="G28" s="27" t="n">
        <v>1.44</v>
      </c>
    </row>
    <row r="29" ht="18" customHeight="1">
      <c r="B29" s="28" t="n">
        <v>8</v>
      </c>
      <c r="C29" s="29" t="inlineStr">
        <is>
          <t>Diesel / Transport</t>
        </is>
      </c>
      <c r="D29" s="28" t="inlineStr">
        <is>
          <t>Assumed</t>
        </is>
      </c>
      <c r="E29" s="28" t="inlineStr">
        <is>
          <t>lumpsum</t>
        </is>
      </c>
      <c r="F29" s="37" t="inlineStr">
        <is>
          <t>—</t>
        </is>
      </c>
      <c r="G29" s="31" t="n">
        <v>0.5</v>
      </c>
    </row>
    <row r="30" ht="18" customHeight="1">
      <c r="B30" s="12" t="n">
        <v>9</v>
      </c>
      <c r="C30" s="10" t="inlineStr">
        <is>
          <t>Harvesting &amp; Processing Cost</t>
        </is>
      </c>
      <c r="D30" s="12" t="inlineStr">
        <is>
          <t>Assumed</t>
        </is>
      </c>
      <c r="E30" s="12" t="inlineStr">
        <is>
          <t>lumpsum</t>
        </is>
      </c>
      <c r="F30" s="36" t="inlineStr">
        <is>
          <t>—</t>
        </is>
      </c>
      <c r="G30" s="27" t="n">
        <v>0.31</v>
      </c>
    </row>
    <row r="31" ht="18" customHeight="1">
      <c r="B31" s="28" t="n">
        <v>10</v>
      </c>
      <c r="C31" s="29" t="inlineStr">
        <is>
          <t>Miscellaneous / Contingency (5%)</t>
        </is>
      </c>
      <c r="D31" s="28" t="inlineStr">
        <is>
          <t>Assumed</t>
        </is>
      </c>
      <c r="E31" s="28" t="inlineStr">
        <is>
          <t>lumpsum</t>
        </is>
      </c>
      <c r="F31" s="37" t="inlineStr">
        <is>
          <t>—</t>
        </is>
      </c>
      <c r="G31" s="31" t="n">
        <v>0.4</v>
      </c>
    </row>
    <row r="32" ht="24" customHeight="1">
      <c r="B32" s="38" t="inlineStr">
        <is>
          <t>TOTAL OPERATIONAL COST (B)</t>
        </is>
      </c>
      <c r="G32" s="39" t="n">
        <v>16.1</v>
      </c>
    </row>
    <row r="34" ht="26" customHeight="1">
      <c r="B34" s="40" t="inlineStr">
        <is>
          <t>💰  TOTAL INVESTMENT  (A + B = Capital + Operational)</t>
        </is>
      </c>
      <c r="G34" s="41" t="n">
        <v>20.67</v>
      </c>
    </row>
    <row r="36" ht="26" customHeight="1">
      <c r="B36" s="42" t="inlineStr">
        <is>
          <t>📊  PROFIT &amp; LOSS ANALYSIS</t>
        </is>
      </c>
    </row>
    <row r="37" ht="32" customHeight="1">
      <c r="B37" s="43" t="inlineStr"/>
      <c r="C37" s="43" t="inlineStr">
        <is>
          <t>Description</t>
        </is>
      </c>
      <c r="D37" s="43" t="inlineStr"/>
      <c r="E37" s="43" t="inlineStr"/>
      <c r="F37" s="43" t="inlineStr"/>
      <c r="G37" s="43" t="inlineStr">
        <is>
          <t>Amount (₹ lakh)</t>
        </is>
      </c>
    </row>
    <row r="38" ht="22" customHeight="1">
      <c r="B38" s="44" t="inlineStr">
        <is>
          <t>Estimated Production</t>
        </is>
      </c>
      <c r="G38" s="45" t="inlineStr"/>
    </row>
    <row r="39" ht="22" customHeight="1">
      <c r="B39" s="46" t="inlineStr">
        <is>
          <t>Gross Revenue  (7,560 kg × ₹300/kg)</t>
        </is>
      </c>
      <c r="G39" s="47" t="inlineStr">
        <is>
          <t>22.68</t>
        </is>
      </c>
    </row>
    <row r="40" ht="22" customHeight="1">
      <c r="B40" s="48" t="inlineStr">
        <is>
          <t>Less: Total Operational Cost (B)</t>
        </is>
      </c>
      <c r="G40" s="49" t="inlineStr">
        <is>
          <t>(16.100)</t>
        </is>
      </c>
    </row>
    <row r="41" ht="22" customHeight="1">
      <c r="B41" s="50">
        <f> GROSS PROFIT  (Revenue − Operational)</f>
        <v/>
      </c>
      <c r="G41" s="51" t="inlineStr">
        <is>
          <t>6.58</t>
        </is>
      </c>
    </row>
    <row r="42" ht="22" customHeight="1">
      <c r="B42" s="48" t="inlineStr">
        <is>
          <t>Less: Capital Investment (A)</t>
        </is>
      </c>
      <c r="G42" s="49" t="inlineStr">
        <is>
          <t>(4.570)</t>
        </is>
      </c>
    </row>
    <row r="43" ht="22" customHeight="1">
      <c r="B43" s="52">
        <f> NET PROFIT / CROP  (Gross Profit − Capital)</f>
        <v/>
      </c>
      <c r="G43" s="53" t="inlineStr">
        <is>
          <t>2.01</t>
        </is>
      </c>
    </row>
    <row r="44" ht="22" customHeight="1">
      <c r="B44" s="54" t="inlineStr">
        <is>
          <t>Annual Net  (1 crops × Gross Profit − Capital once)</t>
        </is>
      </c>
      <c r="G44" s="42" t="inlineStr">
        <is>
          <t>2.01 lakh/yr</t>
        </is>
      </c>
    </row>
    <row r="45" ht="22" customHeight="1">
      <c r="B45" s="55" t="inlineStr">
        <is>
          <t>Return on Investment  (Annual Net ÷ Total Investment × 100)</t>
        </is>
      </c>
      <c r="G45" s="56" t="inlineStr">
        <is>
          <t>9.7%</t>
        </is>
      </c>
    </row>
    <row r="47" ht="24" customHeight="1">
      <c r="B47" s="57" t="inlineStr">
        <is>
          <t>📝  NOTES, ASSUMPTIONS &amp; DATA SOURCES</t>
        </is>
      </c>
    </row>
    <row r="48" ht="80" customHeight="1">
      <c r="B48" s="58" t="inlineStr">
        <is>
          <t>Source: PDF training material (NIC/Bihar NFDB). ABW=90g, Survival=70%, 1 crop/year.
Capital costs amortized over 10 years for per-crop ROI calculation.
Market price ₹300/kg (wholesale, live). Biofloc model data in Overview sheet.
PMMSY subsidy: 40% general / 60% SC/ST/Women on eligible capital costs.</t>
        </is>
      </c>
    </row>
    <row r="49"/>
    <row r="50"/>
    <row r="51"/>
    <row r="52"/>
  </sheetData>
  <mergeCells count="31">
    <mergeCell ref="B2:G2"/>
    <mergeCell ref="B7:C7"/>
    <mergeCell ref="B1:G1"/>
    <mergeCell ref="E7"/>
    <mergeCell ref="F6:G6"/>
    <mergeCell ref="B48:G52"/>
    <mergeCell ref="B18:F18"/>
    <mergeCell ref="D5"/>
    <mergeCell ref="F7:G7"/>
    <mergeCell ref="B43:F43"/>
    <mergeCell ref="B10:G10"/>
    <mergeCell ref="B39:F39"/>
    <mergeCell ref="B42:F42"/>
    <mergeCell ref="F5:G5"/>
    <mergeCell ref="E5"/>
    <mergeCell ref="B44:F44"/>
    <mergeCell ref="B20:G20"/>
    <mergeCell ref="B38:F38"/>
    <mergeCell ref="B36:G36"/>
    <mergeCell ref="B34:F34"/>
    <mergeCell ref="D6"/>
    <mergeCell ref="B4:G4"/>
    <mergeCell ref="B40:F40"/>
    <mergeCell ref="B47:G47"/>
    <mergeCell ref="B6:C6"/>
    <mergeCell ref="B5:C5"/>
    <mergeCell ref="D7"/>
    <mergeCell ref="E6"/>
    <mergeCell ref="B45:F45"/>
    <mergeCell ref="B32:F32"/>
    <mergeCell ref="B41:F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53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20" customWidth="1" min="5" max="5"/>
    <col width="16" customWidth="1" min="6" max="6"/>
    <col width="18" customWidth="1" min="7" max="7"/>
    <col width="5" customWidth="1" min="8" max="8"/>
  </cols>
  <sheetData>
    <row r="1" ht="40" customHeight="1">
      <c r="B1" s="21" t="inlineStr">
        <is>
          <t>🐟  ROHU (RUI / ROHIT)  —  DETAILED INVESTMENT &amp; ECONOMICS  (INDIA, 1 HECTARE)</t>
        </is>
      </c>
    </row>
    <row r="2" ht="18" customHeight="1">
      <c r="B2" s="2" t="inlineStr">
        <is>
          <t>Labeo rohita  |  Polyculture / Monoculture Pond  |  Water: Freshwater</t>
        </is>
      </c>
    </row>
    <row r="4" ht="24" customHeight="1">
      <c r="B4" s="22" t="inlineStr">
        <is>
          <t>🔑  KEY BIOLOGICAL &amp; ECONOMIC PARAMETERS</t>
        </is>
      </c>
    </row>
    <row r="5" ht="20" customHeight="1">
      <c r="B5" s="18" t="inlineStr">
        <is>
          <t>Culture Duration</t>
        </is>
      </c>
      <c r="D5" s="23" t="inlineStr">
        <is>
          <t>6 months</t>
        </is>
      </c>
      <c r="E5" s="18" t="inlineStr">
        <is>
          <t>Avg. Body Weight at Harvest</t>
        </is>
      </c>
      <c r="F5" s="23" t="inlineStr">
        <is>
          <t>750 g</t>
        </is>
      </c>
    </row>
    <row r="6" ht="20" customHeight="1">
      <c r="B6" s="18" t="inlineStr">
        <is>
          <t>Survival Rate</t>
        </is>
      </c>
      <c r="D6" s="23" t="inlineStr">
        <is>
          <t>88%</t>
        </is>
      </c>
      <c r="E6" s="18" t="inlineStr">
        <is>
          <t>Stocking Density</t>
        </is>
      </c>
      <c r="F6" s="23" t="inlineStr">
        <is>
          <t>10,000 / Ha</t>
        </is>
      </c>
    </row>
    <row r="7" ht="20" customHeight="1">
      <c r="B7" s="18" t="inlineStr">
        <is>
          <t>Market Price (approx.)</t>
        </is>
      </c>
      <c r="D7" s="23" t="inlineStr">
        <is>
          <t>₹ 100 / kg</t>
        </is>
      </c>
      <c r="E7" s="18" t="inlineStr">
        <is>
          <t>Crops per Year</t>
        </is>
      </c>
      <c r="F7" s="23" t="inlineStr">
        <is>
          <t>2</t>
        </is>
      </c>
    </row>
    <row r="9" ht="6" customHeight="1"/>
    <row r="10" ht="26" customHeight="1">
      <c r="B10" s="24" t="inlineStr">
        <is>
          <t>🏗️  SECTION A — CAPITAL INVESTMENT  (One-time / Infrastructure Costs)</t>
        </is>
      </c>
    </row>
    <row r="11" ht="32" customHeight="1">
      <c r="B11" s="25" t="inlineStr">
        <is>
          <t>Sl.No</t>
        </is>
      </c>
      <c r="C11" s="25" t="inlineStr">
        <is>
          <t>Item / Description</t>
        </is>
      </c>
      <c r="D11" s="25" t="inlineStr">
        <is>
          <t>Quantity</t>
        </is>
      </c>
      <c r="E11" s="25" t="inlineStr">
        <is>
          <t>Unit / Rate</t>
        </is>
      </c>
      <c r="F11" s="25" t="inlineStr">
        <is>
          <t>Unit Price (₹)</t>
        </is>
      </c>
      <c r="G11" s="25" t="inlineStr">
        <is>
          <t>Total (₹ lakh)</t>
        </is>
      </c>
    </row>
    <row r="12" ht="18" customHeight="1">
      <c r="B12" s="12" t="n">
        <v>1</v>
      </c>
      <c r="C12" s="10" t="inlineStr">
        <is>
          <t>Pond Construction / De-silting</t>
        </is>
      </c>
      <c r="D12" s="12" t="inlineStr">
        <is>
          <t>1 Ha</t>
        </is>
      </c>
      <c r="E12" s="12" t="inlineStr">
        <is>
          <t>lumpsum</t>
        </is>
      </c>
      <c r="F12" s="26" t="n">
        <v>150000</v>
      </c>
      <c r="G12" s="27" t="n">
        <v>1.5</v>
      </c>
    </row>
    <row r="13" ht="18" customHeight="1">
      <c r="B13" s="28" t="n">
        <v>2</v>
      </c>
      <c r="C13" s="29" t="inlineStr">
        <is>
          <t>Water Supply Arrangement</t>
        </is>
      </c>
      <c r="D13" s="28" t="inlineStr">
        <is>
          <t>1 set</t>
        </is>
      </c>
      <c r="E13" s="28" t="inlineStr">
        <is>
          <t>lumpsum</t>
        </is>
      </c>
      <c r="F13" s="30" t="n">
        <v>30000</v>
      </c>
      <c r="G13" s="31" t="n">
        <v>0.3</v>
      </c>
    </row>
    <row r="14" ht="18" customHeight="1">
      <c r="B14" s="12" t="n">
        <v>3</v>
      </c>
      <c r="C14" s="10" t="inlineStr">
        <is>
          <t>Aerator (1 HP × 2)</t>
        </is>
      </c>
      <c r="D14" s="12" t="inlineStr">
        <is>
          <t>2 units</t>
        </is>
      </c>
      <c r="E14" s="12" t="inlineStr">
        <is>
          <t>unit</t>
        </is>
      </c>
      <c r="F14" s="26" t="n">
        <v>18000</v>
      </c>
      <c r="G14" s="27" t="n">
        <v>0.36</v>
      </c>
    </row>
    <row r="15" ht="18" customHeight="1">
      <c r="B15" s="28" t="n">
        <v>4</v>
      </c>
      <c r="C15" s="29" t="inlineStr">
        <is>
          <t>Nets &amp; Harvesting Equipment</t>
        </is>
      </c>
      <c r="D15" s="28" t="inlineStr">
        <is>
          <t>1 set</t>
        </is>
      </c>
      <c r="E15" s="28" t="inlineStr">
        <is>
          <t>lumpsum</t>
        </is>
      </c>
      <c r="F15" s="30" t="n">
        <v>20000</v>
      </c>
      <c r="G15" s="31" t="n">
        <v>0.2</v>
      </c>
    </row>
    <row r="16" ht="18" customHeight="1">
      <c r="B16" s="12" t="n">
        <v>5</v>
      </c>
      <c r="C16" s="10" t="inlineStr">
        <is>
          <t>Storage / Shade Structure</t>
        </is>
      </c>
      <c r="D16" s="12" t="inlineStr">
        <is>
          <t>1 unit</t>
        </is>
      </c>
      <c r="E16" s="12" t="inlineStr">
        <is>
          <t>lumpsum</t>
        </is>
      </c>
      <c r="F16" s="26" t="n">
        <v>25000</v>
      </c>
      <c r="G16" s="27" t="n">
        <v>0.25</v>
      </c>
    </row>
    <row r="17" ht="24" customHeight="1">
      <c r="B17" s="32" t="inlineStr">
        <is>
          <t>TOTAL CAPITAL INVESTMENT (A)</t>
        </is>
      </c>
      <c r="G17" s="33" t="n">
        <v>2.61</v>
      </c>
    </row>
    <row r="19" ht="26" customHeight="1">
      <c r="B19" s="34" t="inlineStr">
        <is>
          <t>⚙️  SECTION B — OPERATIONAL COSTS  (Per Crop Recurring Costs)</t>
        </is>
      </c>
    </row>
    <row r="20" ht="32" customHeight="1">
      <c r="B20" s="35" t="inlineStr">
        <is>
          <t>Sl.No</t>
        </is>
      </c>
      <c r="C20" s="35" t="inlineStr">
        <is>
          <t>Item / Description</t>
        </is>
      </c>
      <c r="D20" s="35" t="inlineStr">
        <is>
          <t>Quantity</t>
        </is>
      </c>
      <c r="E20" s="35" t="inlineStr">
        <is>
          <t>Unit / Rate</t>
        </is>
      </c>
      <c r="F20" s="35" t="inlineStr">
        <is>
          <t>Unit Price (₹)</t>
        </is>
      </c>
      <c r="G20" s="35" t="inlineStr">
        <is>
          <t>Total (₹ lakh)</t>
        </is>
      </c>
    </row>
    <row r="21" ht="18" customHeight="1">
      <c r="B21" s="12" t="n">
        <v>1</v>
      </c>
      <c r="C21" s="10" t="inlineStr">
        <is>
          <t>Fingerlings / Seed</t>
        </is>
      </c>
      <c r="D21" s="12" t="inlineStr">
        <is>
          <t>10,000</t>
        </is>
      </c>
      <c r="E21" s="12" t="inlineStr">
        <is>
          <t>@ ₹10/piece</t>
        </is>
      </c>
      <c r="F21" s="26" t="n">
        <v>10</v>
      </c>
      <c r="G21" s="27" t="n">
        <v>0.1</v>
      </c>
    </row>
    <row r="22" ht="18" customHeight="1">
      <c r="B22" s="28" t="n">
        <v>2</v>
      </c>
      <c r="C22" s="29" t="inlineStr">
        <is>
          <t>Feed – Rice Bran</t>
        </is>
      </c>
      <c r="D22" s="28" t="inlineStr">
        <is>
          <t>3 tons</t>
        </is>
      </c>
      <c r="E22" s="28" t="inlineStr">
        <is>
          <t>@ ₹5,000/ton</t>
        </is>
      </c>
      <c r="F22" s="30" t="n">
        <v>5000</v>
      </c>
      <c r="G22" s="31" t="n">
        <v>0.15</v>
      </c>
    </row>
    <row r="23" ht="18" customHeight="1">
      <c r="B23" s="12" t="n">
        <v>3</v>
      </c>
      <c r="C23" s="10" t="inlineStr">
        <is>
          <t>Feed – Mustard Oil Cake</t>
        </is>
      </c>
      <c r="D23" s="12" t="inlineStr">
        <is>
          <t>2 tons</t>
        </is>
      </c>
      <c r="E23" s="12" t="inlineStr">
        <is>
          <t>@ ₹12,000/ton</t>
        </is>
      </c>
      <c r="F23" s="26" t="n">
        <v>12000</v>
      </c>
      <c r="G23" s="27" t="n">
        <v>0.24</v>
      </c>
    </row>
    <row r="24" ht="18" customHeight="1">
      <c r="B24" s="28" t="n">
        <v>4</v>
      </c>
      <c r="C24" s="29" t="inlineStr">
        <is>
          <t>Pelleted Supplementary Feed</t>
        </is>
      </c>
      <c r="D24" s="28" t="inlineStr">
        <is>
          <t>1 ton</t>
        </is>
      </c>
      <c r="E24" s="28" t="inlineStr">
        <is>
          <t>@ ₹7,000/ton</t>
        </is>
      </c>
      <c r="F24" s="30" t="n">
        <v>7000</v>
      </c>
      <c r="G24" s="31" t="n">
        <v>0.07000000000000001</v>
      </c>
    </row>
    <row r="25" ht="18" customHeight="1">
      <c r="B25" s="12" t="n">
        <v>5</v>
      </c>
      <c r="C25" s="10" t="inlineStr">
        <is>
          <t>Organic Fertilizers (Cow dung)</t>
        </is>
      </c>
      <c r="D25" s="12" t="inlineStr">
        <is>
          <t>5 tons</t>
        </is>
      </c>
      <c r="E25" s="12" t="inlineStr">
        <is>
          <t>@ ₹1,000/ton</t>
        </is>
      </c>
      <c r="F25" s="26" t="n">
        <v>1000</v>
      </c>
      <c r="G25" s="27" t="n">
        <v>0.05</v>
      </c>
    </row>
    <row r="26" ht="18" customHeight="1">
      <c r="B26" s="28" t="n">
        <v>6</v>
      </c>
      <c r="C26" s="29" t="inlineStr">
        <is>
          <t>Chemical Fertilizers (Urea/TSP)</t>
        </is>
      </c>
      <c r="D26" s="28" t="inlineStr">
        <is>
          <t>50 kg</t>
        </is>
      </c>
      <c r="E26" s="28" t="inlineStr">
        <is>
          <t>@ ₹20/kg</t>
        </is>
      </c>
      <c r="F26" s="30" t="n">
        <v>20</v>
      </c>
      <c r="G26" s="31" t="n">
        <v>0.01</v>
      </c>
    </row>
    <row r="27" ht="18" customHeight="1">
      <c r="B27" s="12" t="n">
        <v>7</v>
      </c>
      <c r="C27" s="10" t="inlineStr">
        <is>
          <t>Lime (Pond Treatment)</t>
        </is>
      </c>
      <c r="D27" s="12" t="inlineStr">
        <is>
          <t>200 kg</t>
        </is>
      </c>
      <c r="E27" s="12" t="inlineStr">
        <is>
          <t>@ ₹8/kg</t>
        </is>
      </c>
      <c r="F27" s="26" t="n">
        <v>8</v>
      </c>
      <c r="G27" s="27" t="n">
        <v>0.016</v>
      </c>
    </row>
    <row r="28" ht="18" customHeight="1">
      <c r="B28" s="28" t="n">
        <v>8</v>
      </c>
      <c r="C28" s="29" t="inlineStr">
        <is>
          <t>Medicines &amp; Chemicals</t>
        </is>
      </c>
      <c r="D28" s="28" t="inlineStr">
        <is>
          <t>Assumed</t>
        </is>
      </c>
      <c r="E28" s="28" t="inlineStr">
        <is>
          <t>lumpsum</t>
        </is>
      </c>
      <c r="F28" s="37" t="inlineStr">
        <is>
          <t>—</t>
        </is>
      </c>
      <c r="G28" s="31" t="n">
        <v>0.15</v>
      </c>
    </row>
    <row r="29" ht="18" customHeight="1">
      <c r="B29" s="12" t="n">
        <v>9</v>
      </c>
      <c r="C29" s="10" t="inlineStr">
        <is>
          <t>Electricity</t>
        </is>
      </c>
      <c r="D29" s="12" t="inlineStr">
        <is>
          <t>6 mo</t>
        </is>
      </c>
      <c r="E29" s="12" t="inlineStr">
        <is>
          <t>@ ₹4,000/mo</t>
        </is>
      </c>
      <c r="F29" s="26" t="n">
        <v>4000</v>
      </c>
      <c r="G29" s="27" t="n">
        <v>0.24</v>
      </c>
    </row>
    <row r="30" ht="18" customHeight="1">
      <c r="B30" s="28" t="n">
        <v>10</v>
      </c>
      <c r="C30" s="29" t="inlineStr">
        <is>
          <t>Labour (1 worker)</t>
        </is>
      </c>
      <c r="D30" s="28" t="inlineStr">
        <is>
          <t>6 mo</t>
        </is>
      </c>
      <c r="E30" s="28" t="inlineStr">
        <is>
          <t>@ ₹8,000/mo</t>
        </is>
      </c>
      <c r="F30" s="30" t="n">
        <v>8000</v>
      </c>
      <c r="G30" s="31" t="n">
        <v>0.48</v>
      </c>
    </row>
    <row r="31" ht="18" customHeight="1">
      <c r="B31" s="12" t="n">
        <v>11</v>
      </c>
      <c r="C31" s="10" t="inlineStr">
        <is>
          <t>Harvesting &amp; Transport</t>
        </is>
      </c>
      <c r="D31" s="12" t="inlineStr">
        <is>
          <t>Assumed</t>
        </is>
      </c>
      <c r="E31" s="12" t="inlineStr">
        <is>
          <t>lumpsum</t>
        </is>
      </c>
      <c r="F31" s="36" t="inlineStr">
        <is>
          <t>—</t>
        </is>
      </c>
      <c r="G31" s="27" t="n">
        <v>0.1</v>
      </c>
    </row>
    <row r="32" ht="18" customHeight="1">
      <c r="B32" s="28" t="n">
        <v>12</v>
      </c>
      <c r="C32" s="29" t="inlineStr">
        <is>
          <t>Miscellaneous</t>
        </is>
      </c>
      <c r="D32" s="28" t="inlineStr">
        <is>
          <t>Assumed</t>
        </is>
      </c>
      <c r="E32" s="28" t="inlineStr">
        <is>
          <t>lumpsum</t>
        </is>
      </c>
      <c r="F32" s="37" t="inlineStr">
        <is>
          <t>—</t>
        </is>
      </c>
      <c r="G32" s="31" t="n">
        <v>0.08</v>
      </c>
    </row>
    <row r="33" ht="24" customHeight="1">
      <c r="B33" s="38" t="inlineStr">
        <is>
          <t>TOTAL OPERATIONAL COST (B)</t>
        </is>
      </c>
      <c r="G33" s="39" t="n">
        <v>1.686</v>
      </c>
    </row>
    <row r="35" ht="26" customHeight="1">
      <c r="B35" s="40" t="inlineStr">
        <is>
          <t>💰  TOTAL INVESTMENT  (A + B = Capital + Operational)</t>
        </is>
      </c>
      <c r="G35" s="41" t="n">
        <v>4.296</v>
      </c>
    </row>
    <row r="37" ht="26" customHeight="1">
      <c r="B37" s="42" t="inlineStr">
        <is>
          <t>📊  PROFIT &amp; LOSS ANALYSIS</t>
        </is>
      </c>
    </row>
    <row r="38" ht="32" customHeight="1">
      <c r="B38" s="43" t="inlineStr"/>
      <c r="C38" s="43" t="inlineStr">
        <is>
          <t>Description</t>
        </is>
      </c>
      <c r="D38" s="43" t="inlineStr"/>
      <c r="E38" s="43" t="inlineStr"/>
      <c r="F38" s="43" t="inlineStr"/>
      <c r="G38" s="43" t="inlineStr">
        <is>
          <t>Amount (₹ lakh)</t>
        </is>
      </c>
    </row>
    <row r="39" ht="22" customHeight="1">
      <c r="B39" s="44" t="inlineStr">
        <is>
          <t>Estimated Production</t>
        </is>
      </c>
      <c r="G39" s="45" t="inlineStr"/>
    </row>
    <row r="40" ht="22" customHeight="1">
      <c r="B40" s="46" t="inlineStr">
        <is>
          <t>Gross Revenue  (6,600 kg × ₹100/kg)</t>
        </is>
      </c>
      <c r="G40" s="47" t="inlineStr">
        <is>
          <t>6.60</t>
        </is>
      </c>
    </row>
    <row r="41" ht="22" customHeight="1">
      <c r="B41" s="48" t="inlineStr">
        <is>
          <t>Less: Total Operational Cost (B)</t>
        </is>
      </c>
      <c r="G41" s="49" t="inlineStr">
        <is>
          <t>(1.686)</t>
        </is>
      </c>
    </row>
    <row r="42" ht="22" customHeight="1">
      <c r="B42" s="50">
        <f> GROSS PROFIT  (Revenue − Operational)</f>
        <v/>
      </c>
      <c r="G42" s="51" t="inlineStr">
        <is>
          <t>4.91</t>
        </is>
      </c>
    </row>
    <row r="43" ht="22" customHeight="1">
      <c r="B43" s="48" t="inlineStr">
        <is>
          <t>Less: Capital Investment (A)</t>
        </is>
      </c>
      <c r="G43" s="49" t="inlineStr">
        <is>
          <t>(2.610)</t>
        </is>
      </c>
    </row>
    <row r="44" ht="22" customHeight="1">
      <c r="B44" s="52">
        <f> NET PROFIT / CROP  (Gross Profit − Capital)</f>
        <v/>
      </c>
      <c r="G44" s="53" t="inlineStr">
        <is>
          <t>2.30</t>
        </is>
      </c>
    </row>
    <row r="45" ht="22" customHeight="1">
      <c r="B45" s="54" t="inlineStr">
        <is>
          <t>Annual Net  (2 crops × Gross Profit − Capital once)</t>
        </is>
      </c>
      <c r="G45" s="42" t="inlineStr">
        <is>
          <t>7.22 lakh/yr</t>
        </is>
      </c>
    </row>
    <row r="46" ht="22" customHeight="1">
      <c r="B46" s="55" t="inlineStr">
        <is>
          <t>Return on Investment  (Annual Net ÷ Total Investment × 100)</t>
        </is>
      </c>
      <c r="G46" s="56" t="inlineStr">
        <is>
          <t>168.0%</t>
        </is>
      </c>
    </row>
    <row r="48" ht="24" customHeight="1">
      <c r="B48" s="57" t="inlineStr">
        <is>
          <t>📝  NOTES, ASSUMPTIONS &amp; DATA SOURCES</t>
        </is>
      </c>
    </row>
    <row r="49" ht="80" customHeight="1">
      <c r="B49" s="58" t="inlineStr">
        <is>
          <t>Source: ICAR-CIFA; Agrifarming.in Rohu project report; Karnataka BC Ratio study 2021.
ABW=750g, Survival=88%, 2 crops/year possible. Market ₹80–120/kg (used ₹100).
Polyculture with Catla+Mrigal improves total land utilisation.
BC Ratio ≈ 2.91. Per crop net × 2 crops = annual net profit.</t>
        </is>
      </c>
    </row>
    <row r="50"/>
    <row r="51"/>
    <row r="52"/>
    <row r="53"/>
  </sheetData>
  <mergeCells count="31">
    <mergeCell ref="B2:G2"/>
    <mergeCell ref="B7:C7"/>
    <mergeCell ref="B1:G1"/>
    <mergeCell ref="E7"/>
    <mergeCell ref="F6:G6"/>
    <mergeCell ref="B46:F46"/>
    <mergeCell ref="D5"/>
    <mergeCell ref="F7:G7"/>
    <mergeCell ref="B19:G19"/>
    <mergeCell ref="B43:F43"/>
    <mergeCell ref="B10:G10"/>
    <mergeCell ref="B39:F39"/>
    <mergeCell ref="B37:G37"/>
    <mergeCell ref="B42:F42"/>
    <mergeCell ref="F5:G5"/>
    <mergeCell ref="B17:F17"/>
    <mergeCell ref="E5"/>
    <mergeCell ref="B44:F44"/>
    <mergeCell ref="B49:G53"/>
    <mergeCell ref="D6"/>
    <mergeCell ref="B4:G4"/>
    <mergeCell ref="B40:F40"/>
    <mergeCell ref="B6:C6"/>
    <mergeCell ref="B5:C5"/>
    <mergeCell ref="B33:F33"/>
    <mergeCell ref="D7"/>
    <mergeCell ref="E6"/>
    <mergeCell ref="B45:F45"/>
    <mergeCell ref="B48:G48"/>
    <mergeCell ref="B41:F41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52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20" customWidth="1" min="5" max="5"/>
    <col width="16" customWidth="1" min="6" max="6"/>
    <col width="18" customWidth="1" min="7" max="7"/>
    <col width="5" customWidth="1" min="8" max="8"/>
  </cols>
  <sheetData>
    <row r="1" ht="40" customHeight="1">
      <c r="B1" s="21" t="inlineStr">
        <is>
          <t>🐟  CATLA (BHAKURA / KATLA)  —  DETAILED INVESTMENT &amp; ECONOMICS  (INDIA, 1 HECTARE)</t>
        </is>
      </c>
    </row>
    <row r="2" ht="18" customHeight="1">
      <c r="B2" s="2" t="inlineStr">
        <is>
          <t>Catla catla (Labeo catla)  |  Polyculture / Monoculture Pond  |  Water: Freshwater</t>
        </is>
      </c>
    </row>
    <row r="4" ht="24" customHeight="1">
      <c r="B4" s="22" t="inlineStr">
        <is>
          <t>🔑  KEY BIOLOGICAL &amp; ECONOMIC PARAMETERS</t>
        </is>
      </c>
    </row>
    <row r="5" ht="20" customHeight="1">
      <c r="B5" s="18" t="inlineStr">
        <is>
          <t>Culture Duration</t>
        </is>
      </c>
      <c r="D5" s="23" t="inlineStr">
        <is>
          <t>12 months</t>
        </is>
      </c>
      <c r="E5" s="18" t="inlineStr">
        <is>
          <t>Avg. Body Weight at Harvest</t>
        </is>
      </c>
      <c r="F5" s="23" t="inlineStr">
        <is>
          <t>900 g</t>
        </is>
      </c>
    </row>
    <row r="6" ht="20" customHeight="1">
      <c r="B6" s="18" t="inlineStr">
        <is>
          <t>Survival Rate</t>
        </is>
      </c>
      <c r="D6" s="23" t="inlineStr">
        <is>
          <t>70%</t>
        </is>
      </c>
      <c r="E6" s="18" t="inlineStr">
        <is>
          <t>Stocking Density</t>
        </is>
      </c>
      <c r="F6" s="23" t="inlineStr">
        <is>
          <t>20,000 / Ha</t>
        </is>
      </c>
    </row>
    <row r="7" ht="20" customHeight="1">
      <c r="B7" s="18" t="inlineStr">
        <is>
          <t>Market Price (approx.)</t>
        </is>
      </c>
      <c r="D7" s="23" t="inlineStr">
        <is>
          <t>₹ 150 / kg</t>
        </is>
      </c>
      <c r="E7" s="18" t="inlineStr">
        <is>
          <t>Crops per Year</t>
        </is>
      </c>
      <c r="F7" s="23" t="inlineStr">
        <is>
          <t>1</t>
        </is>
      </c>
    </row>
    <row r="9" ht="6" customHeight="1"/>
    <row r="10" ht="26" customHeight="1">
      <c r="B10" s="24" t="inlineStr">
        <is>
          <t>🏗️  SECTION A — CAPITAL INVESTMENT  (One-time / Infrastructure Costs)</t>
        </is>
      </c>
    </row>
    <row r="11" ht="32" customHeight="1">
      <c r="B11" s="25" t="inlineStr">
        <is>
          <t>Sl.No</t>
        </is>
      </c>
      <c r="C11" s="25" t="inlineStr">
        <is>
          <t>Item / Description</t>
        </is>
      </c>
      <c r="D11" s="25" t="inlineStr">
        <is>
          <t>Quantity</t>
        </is>
      </c>
      <c r="E11" s="25" t="inlineStr">
        <is>
          <t>Unit / Rate</t>
        </is>
      </c>
      <c r="F11" s="25" t="inlineStr">
        <is>
          <t>Unit Price (₹)</t>
        </is>
      </c>
      <c r="G11" s="25" t="inlineStr">
        <is>
          <t>Total (₹ lakh)</t>
        </is>
      </c>
    </row>
    <row r="12" ht="18" customHeight="1">
      <c r="B12" s="12" t="n">
        <v>1</v>
      </c>
      <c r="C12" s="10" t="inlineStr">
        <is>
          <t>Pond Construction / De-silting</t>
        </is>
      </c>
      <c r="D12" s="12" t="inlineStr">
        <is>
          <t>1 Ha</t>
        </is>
      </c>
      <c r="E12" s="12" t="inlineStr">
        <is>
          <t>lumpsum</t>
        </is>
      </c>
      <c r="F12" s="26" t="n">
        <v>150000</v>
      </c>
      <c r="G12" s="27" t="n">
        <v>1.5</v>
      </c>
    </row>
    <row r="13" ht="18" customHeight="1">
      <c r="B13" s="28" t="n">
        <v>2</v>
      </c>
      <c r="C13" s="29" t="inlineStr">
        <is>
          <t>Water Supply &amp; Pump</t>
        </is>
      </c>
      <c r="D13" s="28" t="inlineStr">
        <is>
          <t>1 set</t>
        </is>
      </c>
      <c r="E13" s="28" t="inlineStr">
        <is>
          <t>lumpsum</t>
        </is>
      </c>
      <c r="F13" s="30" t="n">
        <v>40000</v>
      </c>
      <c r="G13" s="31" t="n">
        <v>0.4</v>
      </c>
    </row>
    <row r="14" ht="18" customHeight="1">
      <c r="B14" s="12" t="n">
        <v>3</v>
      </c>
      <c r="C14" s="10" t="inlineStr">
        <is>
          <t>Aerators (1 HP × 2)</t>
        </is>
      </c>
      <c r="D14" s="12" t="inlineStr">
        <is>
          <t>2 units</t>
        </is>
      </c>
      <c r="E14" s="12" t="inlineStr">
        <is>
          <t>unit</t>
        </is>
      </c>
      <c r="F14" s="26" t="n">
        <v>18000</v>
      </c>
      <c r="G14" s="27" t="n">
        <v>0.36</v>
      </c>
    </row>
    <row r="15" ht="18" customHeight="1">
      <c r="B15" s="28" t="n">
        <v>4</v>
      </c>
      <c r="C15" s="29" t="inlineStr">
        <is>
          <t>Nets &amp; Harvesting Equipment</t>
        </is>
      </c>
      <c r="D15" s="28" t="inlineStr">
        <is>
          <t>1 set</t>
        </is>
      </c>
      <c r="E15" s="28" t="inlineStr">
        <is>
          <t>lumpsum</t>
        </is>
      </c>
      <c r="F15" s="30" t="n">
        <v>25000</v>
      </c>
      <c r="G15" s="31" t="n">
        <v>0.25</v>
      </c>
    </row>
    <row r="16" ht="18" customHeight="1">
      <c r="B16" s="12" t="n">
        <v>5</v>
      </c>
      <c r="C16" s="10" t="inlineStr">
        <is>
          <t>Storage Shed</t>
        </is>
      </c>
      <c r="D16" s="12" t="inlineStr">
        <is>
          <t>1 unit</t>
        </is>
      </c>
      <c r="E16" s="12" t="inlineStr">
        <is>
          <t>lumpsum</t>
        </is>
      </c>
      <c r="F16" s="26" t="n">
        <v>30000</v>
      </c>
      <c r="G16" s="27" t="n">
        <v>0.3</v>
      </c>
    </row>
    <row r="17" ht="24" customHeight="1">
      <c r="B17" s="32" t="inlineStr">
        <is>
          <t>TOTAL CAPITAL INVESTMENT (A)</t>
        </is>
      </c>
      <c r="G17" s="33" t="n">
        <v>2.81</v>
      </c>
    </row>
    <row r="19" ht="26" customHeight="1">
      <c r="B19" s="34" t="inlineStr">
        <is>
          <t>⚙️  SECTION B — OPERATIONAL COSTS  (Per Crop Recurring Costs)</t>
        </is>
      </c>
    </row>
    <row r="20" ht="32" customHeight="1">
      <c r="B20" s="35" t="inlineStr">
        <is>
          <t>Sl.No</t>
        </is>
      </c>
      <c r="C20" s="35" t="inlineStr">
        <is>
          <t>Item / Description</t>
        </is>
      </c>
      <c r="D20" s="35" t="inlineStr">
        <is>
          <t>Quantity</t>
        </is>
      </c>
      <c r="E20" s="35" t="inlineStr">
        <is>
          <t>Unit / Rate</t>
        </is>
      </c>
      <c r="F20" s="35" t="inlineStr">
        <is>
          <t>Unit Price (₹)</t>
        </is>
      </c>
      <c r="G20" s="35" t="inlineStr">
        <is>
          <t>Total (₹ lakh)</t>
        </is>
      </c>
    </row>
    <row r="21" ht="18" customHeight="1">
      <c r="B21" s="12" t="n">
        <v>1</v>
      </c>
      <c r="C21" s="10" t="inlineStr">
        <is>
          <t>Fingerlings / Seed</t>
        </is>
      </c>
      <c r="D21" s="12" t="inlineStr">
        <is>
          <t>20,000</t>
        </is>
      </c>
      <c r="E21" s="12" t="inlineStr">
        <is>
          <t>@ ₹10/piece</t>
        </is>
      </c>
      <c r="F21" s="26" t="n">
        <v>10</v>
      </c>
      <c r="G21" s="27" t="n">
        <v>0.2</v>
      </c>
    </row>
    <row r="22" ht="18" customHeight="1">
      <c r="B22" s="28" t="n">
        <v>2</v>
      </c>
      <c r="C22" s="29" t="inlineStr">
        <is>
          <t>Pelleted Feed (28% protein)</t>
        </is>
      </c>
      <c r="D22" s="28" t="inlineStr">
        <is>
          <t>4 tons</t>
        </is>
      </c>
      <c r="E22" s="28" t="inlineStr">
        <is>
          <t>@ ₹7,000/ton</t>
        </is>
      </c>
      <c r="F22" s="30" t="n">
        <v>7000</v>
      </c>
      <c r="G22" s="31" t="n">
        <v>0.28</v>
      </c>
    </row>
    <row r="23" ht="18" customHeight="1">
      <c r="B23" s="12" t="n">
        <v>3</v>
      </c>
      <c r="C23" s="10" t="inlineStr">
        <is>
          <t>Rice Bran + Oil Cake Mix</t>
        </is>
      </c>
      <c r="D23" s="12" t="inlineStr">
        <is>
          <t>2 tons</t>
        </is>
      </c>
      <c r="E23" s="12" t="inlineStr">
        <is>
          <t>@ ₹6,000/ton</t>
        </is>
      </c>
      <c r="F23" s="26" t="n">
        <v>6000</v>
      </c>
      <c r="G23" s="27" t="n">
        <v>0.12</v>
      </c>
    </row>
    <row r="24" ht="18" customHeight="1">
      <c r="B24" s="28" t="n">
        <v>4</v>
      </c>
      <c r="C24" s="29" t="inlineStr">
        <is>
          <t>Organic Fertilizers</t>
        </is>
      </c>
      <c r="D24" s="28" t="inlineStr">
        <is>
          <t>8 tons</t>
        </is>
      </c>
      <c r="E24" s="28" t="inlineStr">
        <is>
          <t>@ ₹800/ton</t>
        </is>
      </c>
      <c r="F24" s="30" t="n">
        <v>800</v>
      </c>
      <c r="G24" s="31" t="n">
        <v>0.064</v>
      </c>
    </row>
    <row r="25" ht="18" customHeight="1">
      <c r="B25" s="12" t="n">
        <v>5</v>
      </c>
      <c r="C25" s="10" t="inlineStr">
        <is>
          <t>Chemical Fertilizers</t>
        </is>
      </c>
      <c r="D25" s="12" t="inlineStr">
        <is>
          <t>100 kg</t>
        </is>
      </c>
      <c r="E25" s="12" t="inlineStr">
        <is>
          <t>@ ₹20/kg</t>
        </is>
      </c>
      <c r="F25" s="26" t="n">
        <v>20</v>
      </c>
      <c r="G25" s="27" t="n">
        <v>0.02</v>
      </c>
    </row>
    <row r="26" ht="18" customHeight="1">
      <c r="B26" s="28" t="n">
        <v>6</v>
      </c>
      <c r="C26" s="29" t="inlineStr">
        <is>
          <t>Lime</t>
        </is>
      </c>
      <c r="D26" s="28" t="inlineStr">
        <is>
          <t>300 kg</t>
        </is>
      </c>
      <c r="E26" s="28" t="inlineStr">
        <is>
          <t>@ ₹8/kg</t>
        </is>
      </c>
      <c r="F26" s="30" t="n">
        <v>8</v>
      </c>
      <c r="G26" s="31" t="n">
        <v>0.024</v>
      </c>
    </row>
    <row r="27" ht="18" customHeight="1">
      <c r="B27" s="12" t="n">
        <v>7</v>
      </c>
      <c r="C27" s="10" t="inlineStr">
        <is>
          <t>Medicines &amp; Probiotics</t>
        </is>
      </c>
      <c r="D27" s="12" t="inlineStr">
        <is>
          <t>Assumed</t>
        </is>
      </c>
      <c r="E27" s="12" t="inlineStr">
        <is>
          <t>lumpsum</t>
        </is>
      </c>
      <c r="F27" s="36" t="inlineStr">
        <is>
          <t>—</t>
        </is>
      </c>
      <c r="G27" s="27" t="n">
        <v>0.3</v>
      </c>
    </row>
    <row r="28" ht="18" customHeight="1">
      <c r="B28" s="28" t="n">
        <v>8</v>
      </c>
      <c r="C28" s="29" t="inlineStr">
        <is>
          <t>Electricity</t>
        </is>
      </c>
      <c r="D28" s="28" t="inlineStr">
        <is>
          <t>12 mo</t>
        </is>
      </c>
      <c r="E28" s="28" t="inlineStr">
        <is>
          <t>@ ₹4,500/mo</t>
        </is>
      </c>
      <c r="F28" s="30" t="n">
        <v>4500</v>
      </c>
      <c r="G28" s="31" t="n">
        <v>0.54</v>
      </c>
    </row>
    <row r="29" ht="18" customHeight="1">
      <c r="B29" s="12" t="n">
        <v>9</v>
      </c>
      <c r="C29" s="10" t="inlineStr">
        <is>
          <t>Labour (1 worker)</t>
        </is>
      </c>
      <c r="D29" s="12" t="inlineStr">
        <is>
          <t>12 mo</t>
        </is>
      </c>
      <c r="E29" s="12" t="inlineStr">
        <is>
          <t>@ ₹8,000/mo</t>
        </is>
      </c>
      <c r="F29" s="26" t="n">
        <v>8000</v>
      </c>
      <c r="G29" s="27" t="n">
        <v>0.96</v>
      </c>
    </row>
    <row r="30" ht="18" customHeight="1">
      <c r="B30" s="28" t="n">
        <v>10</v>
      </c>
      <c r="C30" s="29" t="inlineStr">
        <is>
          <t>Harvesting &amp; Transport</t>
        </is>
      </c>
      <c r="D30" s="28" t="inlineStr">
        <is>
          <t>Assumed</t>
        </is>
      </c>
      <c r="E30" s="28" t="inlineStr">
        <is>
          <t>lumpsum</t>
        </is>
      </c>
      <c r="F30" s="37" t="inlineStr">
        <is>
          <t>—</t>
        </is>
      </c>
      <c r="G30" s="31" t="n">
        <v>0.2</v>
      </c>
    </row>
    <row r="31" ht="18" customHeight="1">
      <c r="B31" s="12" t="n">
        <v>11</v>
      </c>
      <c r="C31" s="10" t="inlineStr">
        <is>
          <t>Miscellaneous</t>
        </is>
      </c>
      <c r="D31" s="12" t="inlineStr">
        <is>
          <t>Assumed</t>
        </is>
      </c>
      <c r="E31" s="12" t="inlineStr">
        <is>
          <t>lumpsum</t>
        </is>
      </c>
      <c r="F31" s="36" t="inlineStr">
        <is>
          <t>—</t>
        </is>
      </c>
      <c r="G31" s="27" t="n">
        <v>0.15</v>
      </c>
    </row>
    <row r="32" ht="24" customHeight="1">
      <c r="B32" s="38" t="inlineStr">
        <is>
          <t>TOTAL OPERATIONAL COST (B)</t>
        </is>
      </c>
      <c r="G32" s="39" t="n">
        <v>2.858</v>
      </c>
    </row>
    <row r="34" ht="26" customHeight="1">
      <c r="B34" s="40" t="inlineStr">
        <is>
          <t>💰  TOTAL INVESTMENT  (A + B = Capital + Operational)</t>
        </is>
      </c>
      <c r="G34" s="41" t="n">
        <v>5.668</v>
      </c>
    </row>
    <row r="36" ht="26" customHeight="1">
      <c r="B36" s="42" t="inlineStr">
        <is>
          <t>📊  PROFIT &amp; LOSS ANALYSIS</t>
        </is>
      </c>
    </row>
    <row r="37" ht="32" customHeight="1">
      <c r="B37" s="43" t="inlineStr"/>
      <c r="C37" s="43" t="inlineStr">
        <is>
          <t>Description</t>
        </is>
      </c>
      <c r="D37" s="43" t="inlineStr"/>
      <c r="E37" s="43" t="inlineStr"/>
      <c r="F37" s="43" t="inlineStr"/>
      <c r="G37" s="43" t="inlineStr">
        <is>
          <t>Amount (₹ lakh)</t>
        </is>
      </c>
    </row>
    <row r="38" ht="22" customHeight="1">
      <c r="B38" s="44" t="inlineStr">
        <is>
          <t>Estimated Production</t>
        </is>
      </c>
      <c r="G38" s="45" t="inlineStr"/>
    </row>
    <row r="39" ht="22" customHeight="1">
      <c r="B39" s="46" t="inlineStr">
        <is>
          <t>Gross Revenue  (12,600 kg × ₹150/kg)</t>
        </is>
      </c>
      <c r="G39" s="47" t="inlineStr">
        <is>
          <t>18.90</t>
        </is>
      </c>
    </row>
    <row r="40" ht="22" customHeight="1">
      <c r="B40" s="48" t="inlineStr">
        <is>
          <t>Less: Total Operational Cost (B)</t>
        </is>
      </c>
      <c r="G40" s="49" t="inlineStr">
        <is>
          <t>(2.858)</t>
        </is>
      </c>
    </row>
    <row r="41" ht="22" customHeight="1">
      <c r="B41" s="50">
        <f> GROSS PROFIT  (Revenue − Operational)</f>
        <v/>
      </c>
      <c r="G41" s="51" t="inlineStr">
        <is>
          <t>16.04</t>
        </is>
      </c>
    </row>
    <row r="42" ht="22" customHeight="1">
      <c r="B42" s="48" t="inlineStr">
        <is>
          <t>Less: Capital Investment (A)</t>
        </is>
      </c>
      <c r="G42" s="49" t="inlineStr">
        <is>
          <t>(2.810)</t>
        </is>
      </c>
    </row>
    <row r="43" ht="22" customHeight="1">
      <c r="B43" s="52">
        <f> NET PROFIT / CROP  (Gross Profit − Capital)</f>
        <v/>
      </c>
      <c r="G43" s="53" t="inlineStr">
        <is>
          <t>13.23</t>
        </is>
      </c>
    </row>
    <row r="44" ht="22" customHeight="1">
      <c r="B44" s="54" t="inlineStr">
        <is>
          <t>Annual Net  (1 crops × Gross Profit − Capital once)</t>
        </is>
      </c>
      <c r="G44" s="42" t="inlineStr">
        <is>
          <t>13.23 lakh/yr</t>
        </is>
      </c>
    </row>
    <row r="45" ht="22" customHeight="1">
      <c r="B45" s="55" t="inlineStr">
        <is>
          <t>Return on Investment  (Annual Net ÷ Total Investment × 100)</t>
        </is>
      </c>
      <c r="G45" s="56" t="inlineStr">
        <is>
          <t>233.5%</t>
        </is>
      </c>
    </row>
    <row r="47" ht="24" customHeight="1">
      <c r="B47" s="57" t="inlineStr">
        <is>
          <t>📝  NOTES, ASSUMPTIONS &amp; DATA SOURCES</t>
        </is>
      </c>
    </row>
    <row r="48" ht="80" customHeight="1">
      <c r="B48" s="58" t="inlineStr">
        <is>
          <t>Source: Agrifarming.in; ICAR-CIFA; Karnataka polyculture BC Ratio study (1.59).
ABW=900g, Survival=70%, 1 crop/year. Market ₹120–180/kg (used ₹150).
Surface feeder – forms 30–35% share in 3-species composite carp polyculture.
Typical yield: 4–5 MT/ha/year. Up to 13 MT with intensive stocking.</t>
        </is>
      </c>
    </row>
    <row r="49"/>
    <row r="50"/>
    <row r="51"/>
    <row r="52"/>
  </sheetData>
  <mergeCells count="31">
    <mergeCell ref="B2:G2"/>
    <mergeCell ref="B7:C7"/>
    <mergeCell ref="B1:G1"/>
    <mergeCell ref="E7"/>
    <mergeCell ref="F6:G6"/>
    <mergeCell ref="B48:G52"/>
    <mergeCell ref="D5"/>
    <mergeCell ref="F7:G7"/>
    <mergeCell ref="B19:G19"/>
    <mergeCell ref="B43:F43"/>
    <mergeCell ref="B10:G10"/>
    <mergeCell ref="B39:F39"/>
    <mergeCell ref="B42:F42"/>
    <mergeCell ref="F5:G5"/>
    <mergeCell ref="B17:F17"/>
    <mergeCell ref="E5"/>
    <mergeCell ref="B44:F44"/>
    <mergeCell ref="B38:F38"/>
    <mergeCell ref="B36:G36"/>
    <mergeCell ref="B34:F34"/>
    <mergeCell ref="D6"/>
    <mergeCell ref="B4:G4"/>
    <mergeCell ref="B40:F40"/>
    <mergeCell ref="B47:G47"/>
    <mergeCell ref="B6:C6"/>
    <mergeCell ref="B5:C5"/>
    <mergeCell ref="D7"/>
    <mergeCell ref="E6"/>
    <mergeCell ref="B45:F45"/>
    <mergeCell ref="B32:F32"/>
    <mergeCell ref="B41:F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5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20" customWidth="1" min="5" max="5"/>
    <col width="16" customWidth="1" min="6" max="6"/>
    <col width="18" customWidth="1" min="7" max="7"/>
    <col width="5" customWidth="1" min="8" max="8"/>
  </cols>
  <sheetData>
    <row r="1" ht="40" customHeight="1">
      <c r="B1" s="21" t="inlineStr">
        <is>
          <t>🐟  MRIGAL (NAIN / WHITE CARP)  —  DETAILED INVESTMENT &amp; ECONOMICS  (INDIA, 1 HECTARE)</t>
        </is>
      </c>
    </row>
    <row r="2" ht="18" customHeight="1">
      <c r="B2" s="2" t="inlineStr">
        <is>
          <t>Cirrhinus mrigala  |  Polyculture Composite Carp  |  Water: Freshwater</t>
        </is>
      </c>
    </row>
    <row r="4" ht="24" customHeight="1">
      <c r="B4" s="22" t="inlineStr">
        <is>
          <t>🔑  KEY BIOLOGICAL &amp; ECONOMIC PARAMETERS</t>
        </is>
      </c>
    </row>
    <row r="5" ht="20" customHeight="1">
      <c r="B5" s="18" t="inlineStr">
        <is>
          <t>Culture Duration</t>
        </is>
      </c>
      <c r="D5" s="23" t="inlineStr">
        <is>
          <t>12 months</t>
        </is>
      </c>
      <c r="E5" s="18" t="inlineStr">
        <is>
          <t>Avg. Body Weight at Harvest</t>
        </is>
      </c>
      <c r="F5" s="23" t="inlineStr">
        <is>
          <t>1200 g</t>
        </is>
      </c>
    </row>
    <row r="6" ht="20" customHeight="1">
      <c r="B6" s="18" t="inlineStr">
        <is>
          <t>Survival Rate</t>
        </is>
      </c>
      <c r="D6" s="23" t="inlineStr">
        <is>
          <t>80%</t>
        </is>
      </c>
      <c r="E6" s="18" t="inlineStr">
        <is>
          <t>Stocking Density</t>
        </is>
      </c>
      <c r="F6" s="23" t="inlineStr">
        <is>
          <t>8,000 / Ha</t>
        </is>
      </c>
    </row>
    <row r="7" ht="20" customHeight="1">
      <c r="B7" s="18" t="inlineStr">
        <is>
          <t>Market Price (approx.)</t>
        </is>
      </c>
      <c r="D7" s="23" t="inlineStr">
        <is>
          <t>₹ 100 / kg</t>
        </is>
      </c>
      <c r="E7" s="18" t="inlineStr">
        <is>
          <t>Crops per Year</t>
        </is>
      </c>
      <c r="F7" s="23" t="inlineStr">
        <is>
          <t>1</t>
        </is>
      </c>
    </row>
    <row r="9" ht="6" customHeight="1"/>
    <row r="10" ht="26" customHeight="1">
      <c r="B10" s="24" t="inlineStr">
        <is>
          <t>🏗️  SECTION A — CAPITAL INVESTMENT  (One-time / Infrastructure Costs)</t>
        </is>
      </c>
    </row>
    <row r="11" ht="32" customHeight="1">
      <c r="B11" s="25" t="inlineStr">
        <is>
          <t>Sl.No</t>
        </is>
      </c>
      <c r="C11" s="25" t="inlineStr">
        <is>
          <t>Item / Description</t>
        </is>
      </c>
      <c r="D11" s="25" t="inlineStr">
        <is>
          <t>Quantity</t>
        </is>
      </c>
      <c r="E11" s="25" t="inlineStr">
        <is>
          <t>Unit / Rate</t>
        </is>
      </c>
      <c r="F11" s="25" t="inlineStr">
        <is>
          <t>Unit Price (₹)</t>
        </is>
      </c>
      <c r="G11" s="25" t="inlineStr">
        <is>
          <t>Total (₹ lakh)</t>
        </is>
      </c>
    </row>
    <row r="12" ht="18" customHeight="1">
      <c r="B12" s="12" t="n">
        <v>1</v>
      </c>
      <c r="C12" s="10" t="inlineStr">
        <is>
          <t>Pond Construction / De-silting</t>
        </is>
      </c>
      <c r="D12" s="12" t="inlineStr">
        <is>
          <t>1 Ha</t>
        </is>
      </c>
      <c r="E12" s="12" t="inlineStr">
        <is>
          <t>lumpsum</t>
        </is>
      </c>
      <c r="F12" s="26" t="n">
        <v>150000</v>
      </c>
      <c r="G12" s="27" t="n">
        <v>1.5</v>
      </c>
    </row>
    <row r="13" ht="18" customHeight="1">
      <c r="B13" s="28" t="n">
        <v>2</v>
      </c>
      <c r="C13" s="29" t="inlineStr">
        <is>
          <t>Water Supply &amp; Pump</t>
        </is>
      </c>
      <c r="D13" s="28" t="inlineStr">
        <is>
          <t>1 set</t>
        </is>
      </c>
      <c r="E13" s="28" t="inlineStr">
        <is>
          <t>lumpsum</t>
        </is>
      </c>
      <c r="F13" s="30" t="n">
        <v>30000</v>
      </c>
      <c r="G13" s="31" t="n">
        <v>0.3</v>
      </c>
    </row>
    <row r="14" ht="18" customHeight="1">
      <c r="B14" s="12" t="n">
        <v>3</v>
      </c>
      <c r="C14" s="10" t="inlineStr">
        <is>
          <t>Nets &amp; Harvesting Equipment</t>
        </is>
      </c>
      <c r="D14" s="12" t="inlineStr">
        <is>
          <t>1 set</t>
        </is>
      </c>
      <c r="E14" s="12" t="inlineStr">
        <is>
          <t>lumpsum</t>
        </is>
      </c>
      <c r="F14" s="26" t="n">
        <v>15000</v>
      </c>
      <c r="G14" s="27" t="n">
        <v>0.15</v>
      </c>
    </row>
    <row r="15" ht="24" customHeight="1">
      <c r="B15" s="32" t="inlineStr">
        <is>
          <t>TOTAL CAPITAL INVESTMENT (A)</t>
        </is>
      </c>
      <c r="G15" s="33" t="n">
        <v>1.95</v>
      </c>
    </row>
    <row r="17" ht="26" customHeight="1">
      <c r="B17" s="34" t="inlineStr">
        <is>
          <t>⚙️  SECTION B — OPERATIONAL COSTS  (Per Crop Recurring Costs)</t>
        </is>
      </c>
    </row>
    <row r="18" ht="32" customHeight="1">
      <c r="B18" s="35" t="inlineStr">
        <is>
          <t>Sl.No</t>
        </is>
      </c>
      <c r="C18" s="35" t="inlineStr">
        <is>
          <t>Item / Description</t>
        </is>
      </c>
      <c r="D18" s="35" t="inlineStr">
        <is>
          <t>Quantity</t>
        </is>
      </c>
      <c r="E18" s="35" t="inlineStr">
        <is>
          <t>Unit / Rate</t>
        </is>
      </c>
      <c r="F18" s="35" t="inlineStr">
        <is>
          <t>Unit Price (₹)</t>
        </is>
      </c>
      <c r="G18" s="35" t="inlineStr">
        <is>
          <t>Total (₹ lakh)</t>
        </is>
      </c>
    </row>
    <row r="19" ht="18" customHeight="1">
      <c r="B19" s="12" t="n">
        <v>1</v>
      </c>
      <c r="C19" s="10" t="inlineStr">
        <is>
          <t>Fingerlings / Seed</t>
        </is>
      </c>
      <c r="D19" s="12" t="inlineStr">
        <is>
          <t>8,000</t>
        </is>
      </c>
      <c r="E19" s="12" t="inlineStr">
        <is>
          <t>@ ₹8/piece</t>
        </is>
      </c>
      <c r="F19" s="26" t="n">
        <v>8</v>
      </c>
      <c r="G19" s="27" t="n">
        <v>0.064</v>
      </c>
    </row>
    <row r="20" ht="18" customHeight="1">
      <c r="B20" s="28" t="n">
        <v>2</v>
      </c>
      <c r="C20" s="29" t="inlineStr">
        <is>
          <t>Rice Bran</t>
        </is>
      </c>
      <c r="D20" s="28" t="inlineStr">
        <is>
          <t>3 tons</t>
        </is>
      </c>
      <c r="E20" s="28" t="inlineStr">
        <is>
          <t>@ ₹5,000/ton</t>
        </is>
      </c>
      <c r="F20" s="30" t="n">
        <v>5000</v>
      </c>
      <c r="G20" s="31" t="n">
        <v>0.15</v>
      </c>
    </row>
    <row r="21" ht="18" customHeight="1">
      <c r="B21" s="12" t="n">
        <v>3</v>
      </c>
      <c r="C21" s="10" t="inlineStr">
        <is>
          <t>Groundnut Oil Cake</t>
        </is>
      </c>
      <c r="D21" s="12" t="inlineStr">
        <is>
          <t>1.5 tons</t>
        </is>
      </c>
      <c r="E21" s="12" t="inlineStr">
        <is>
          <t>@ ₹15,000/ton</t>
        </is>
      </c>
      <c r="F21" s="26" t="n">
        <v>15000</v>
      </c>
      <c r="G21" s="27" t="n">
        <v>0.225</v>
      </c>
    </row>
    <row r="22" ht="18" customHeight="1">
      <c r="B22" s="28" t="n">
        <v>4</v>
      </c>
      <c r="C22" s="29" t="inlineStr">
        <is>
          <t>Organic Fertilizers</t>
        </is>
      </c>
      <c r="D22" s="28" t="inlineStr">
        <is>
          <t>6 tons</t>
        </is>
      </c>
      <c r="E22" s="28" t="inlineStr">
        <is>
          <t>@ ₹800/ton</t>
        </is>
      </c>
      <c r="F22" s="30" t="n">
        <v>800</v>
      </c>
      <c r="G22" s="31" t="n">
        <v>0.048</v>
      </c>
    </row>
    <row r="23" ht="18" customHeight="1">
      <c r="B23" s="12" t="n">
        <v>5</v>
      </c>
      <c r="C23" s="10" t="inlineStr">
        <is>
          <t>Chemical Fertilizers</t>
        </is>
      </c>
      <c r="D23" s="12" t="inlineStr">
        <is>
          <t>80 kg</t>
        </is>
      </c>
      <c r="E23" s="12" t="inlineStr">
        <is>
          <t>@ ₹20/kg</t>
        </is>
      </c>
      <c r="F23" s="26" t="n">
        <v>20</v>
      </c>
      <c r="G23" s="27" t="n">
        <v>0.016</v>
      </c>
    </row>
    <row r="24" ht="18" customHeight="1">
      <c r="B24" s="28" t="n">
        <v>6</v>
      </c>
      <c r="C24" s="29" t="inlineStr">
        <is>
          <t>Lime</t>
        </is>
      </c>
      <c r="D24" s="28" t="inlineStr">
        <is>
          <t>250 kg</t>
        </is>
      </c>
      <c r="E24" s="28" t="inlineStr">
        <is>
          <t>@ ₹8/kg</t>
        </is>
      </c>
      <c r="F24" s="30" t="n">
        <v>8</v>
      </c>
      <c r="G24" s="31" t="n">
        <v>0.02</v>
      </c>
    </row>
    <row r="25" ht="18" customHeight="1">
      <c r="B25" s="12" t="n">
        <v>7</v>
      </c>
      <c r="C25" s="10" t="inlineStr">
        <is>
          <t>Medicines &amp; Chemicals</t>
        </is>
      </c>
      <c r="D25" s="12" t="inlineStr">
        <is>
          <t>Assumed</t>
        </is>
      </c>
      <c r="E25" s="12" t="inlineStr">
        <is>
          <t>lumpsum</t>
        </is>
      </c>
      <c r="F25" s="36" t="inlineStr">
        <is>
          <t>—</t>
        </is>
      </c>
      <c r="G25" s="27" t="n">
        <v>0.2</v>
      </c>
    </row>
    <row r="26" ht="18" customHeight="1">
      <c r="B26" s="28" t="n">
        <v>8</v>
      </c>
      <c r="C26" s="29" t="inlineStr">
        <is>
          <t>Electricity</t>
        </is>
      </c>
      <c r="D26" s="28" t="inlineStr">
        <is>
          <t>12 mo</t>
        </is>
      </c>
      <c r="E26" s="28" t="inlineStr">
        <is>
          <t>@ ₹3,500/mo</t>
        </is>
      </c>
      <c r="F26" s="30" t="n">
        <v>3500</v>
      </c>
      <c r="G26" s="31" t="n">
        <v>0.42</v>
      </c>
    </row>
    <row r="27" ht="18" customHeight="1">
      <c r="B27" s="12" t="n">
        <v>9</v>
      </c>
      <c r="C27" s="10" t="inlineStr">
        <is>
          <t>Labour (shared / part-time)</t>
        </is>
      </c>
      <c r="D27" s="12" t="inlineStr">
        <is>
          <t>12 mo</t>
        </is>
      </c>
      <c r="E27" s="12" t="inlineStr">
        <is>
          <t>@ ₹5,000/mo</t>
        </is>
      </c>
      <c r="F27" s="26" t="n">
        <v>5000</v>
      </c>
      <c r="G27" s="27" t="n">
        <v>0.6</v>
      </c>
    </row>
    <row r="28" ht="18" customHeight="1">
      <c r="B28" s="28" t="n">
        <v>10</v>
      </c>
      <c r="C28" s="29" t="inlineStr">
        <is>
          <t>Harvesting &amp; Transport</t>
        </is>
      </c>
      <c r="D28" s="28" t="inlineStr">
        <is>
          <t>Assumed</t>
        </is>
      </c>
      <c r="E28" s="28" t="inlineStr">
        <is>
          <t>lumpsum</t>
        </is>
      </c>
      <c r="F28" s="37" t="inlineStr">
        <is>
          <t>—</t>
        </is>
      </c>
      <c r="G28" s="31" t="n">
        <v>0.1</v>
      </c>
    </row>
    <row r="29" ht="18" customHeight="1">
      <c r="B29" s="12" t="n">
        <v>11</v>
      </c>
      <c r="C29" s="10" t="inlineStr">
        <is>
          <t>Miscellaneous</t>
        </is>
      </c>
      <c r="D29" s="12" t="inlineStr">
        <is>
          <t>Assumed</t>
        </is>
      </c>
      <c r="E29" s="12" t="inlineStr">
        <is>
          <t>lumpsum</t>
        </is>
      </c>
      <c r="F29" s="36" t="inlineStr">
        <is>
          <t>—</t>
        </is>
      </c>
      <c r="G29" s="27" t="n">
        <v>0.08</v>
      </c>
    </row>
    <row r="30" ht="24" customHeight="1">
      <c r="B30" s="38" t="inlineStr">
        <is>
          <t>TOTAL OPERATIONAL COST (B)</t>
        </is>
      </c>
      <c r="G30" s="39" t="n">
        <v>1.923</v>
      </c>
    </row>
    <row r="32" ht="26" customHeight="1">
      <c r="B32" s="40" t="inlineStr">
        <is>
          <t>💰  TOTAL INVESTMENT  (A + B = Capital + Operational)</t>
        </is>
      </c>
      <c r="G32" s="41" t="n">
        <v>3.873</v>
      </c>
    </row>
    <row r="34" ht="26" customHeight="1">
      <c r="B34" s="42" t="inlineStr">
        <is>
          <t>📊  PROFIT &amp; LOSS ANALYSIS</t>
        </is>
      </c>
    </row>
    <row r="35" ht="32" customHeight="1">
      <c r="B35" s="43" t="inlineStr"/>
      <c r="C35" s="43" t="inlineStr">
        <is>
          <t>Description</t>
        </is>
      </c>
      <c r="D35" s="43" t="inlineStr"/>
      <c r="E35" s="43" t="inlineStr"/>
      <c r="F35" s="43" t="inlineStr"/>
      <c r="G35" s="43" t="inlineStr">
        <is>
          <t>Amount (₹ lakh)</t>
        </is>
      </c>
    </row>
    <row r="36" ht="22" customHeight="1">
      <c r="B36" s="44" t="inlineStr">
        <is>
          <t>Estimated Production</t>
        </is>
      </c>
      <c r="G36" s="45" t="inlineStr"/>
    </row>
    <row r="37" ht="22" customHeight="1">
      <c r="B37" s="46" t="inlineStr">
        <is>
          <t>Gross Revenue  (7,680 kg × ₹100/kg)</t>
        </is>
      </c>
      <c r="G37" s="47" t="inlineStr">
        <is>
          <t>7.68</t>
        </is>
      </c>
    </row>
    <row r="38" ht="22" customHeight="1">
      <c r="B38" s="48" t="inlineStr">
        <is>
          <t>Less: Total Operational Cost (B)</t>
        </is>
      </c>
      <c r="G38" s="49" t="inlineStr">
        <is>
          <t>(1.923)</t>
        </is>
      </c>
    </row>
    <row r="39" ht="22" customHeight="1">
      <c r="B39" s="50">
        <f> GROSS PROFIT  (Revenue − Operational)</f>
        <v/>
      </c>
      <c r="G39" s="51" t="inlineStr">
        <is>
          <t>5.76</t>
        </is>
      </c>
    </row>
    <row r="40" ht="22" customHeight="1">
      <c r="B40" s="48" t="inlineStr">
        <is>
          <t>Less: Capital Investment (A)</t>
        </is>
      </c>
      <c r="G40" s="49" t="inlineStr">
        <is>
          <t>(1.950)</t>
        </is>
      </c>
    </row>
    <row r="41" ht="22" customHeight="1">
      <c r="B41" s="52">
        <f> NET PROFIT / CROP  (Gross Profit − Capital)</f>
        <v/>
      </c>
      <c r="G41" s="53" t="inlineStr">
        <is>
          <t>3.81</t>
        </is>
      </c>
    </row>
    <row r="42" ht="22" customHeight="1">
      <c r="B42" s="54" t="inlineStr">
        <is>
          <t>Annual Net  (1 crops × Gross Profit − Capital once)</t>
        </is>
      </c>
      <c r="G42" s="42" t="inlineStr">
        <is>
          <t>3.81 lakh/yr</t>
        </is>
      </c>
    </row>
    <row r="43" ht="22" customHeight="1">
      <c r="B43" s="55" t="inlineStr">
        <is>
          <t>Return on Investment  (Annual Net ÷ Total Investment × 100)</t>
        </is>
      </c>
      <c r="G43" s="56" t="inlineStr">
        <is>
          <t>98.3%</t>
        </is>
      </c>
    </row>
    <row r="45" ht="24" customHeight="1">
      <c r="B45" s="57" t="inlineStr">
        <is>
          <t>📝  NOTES, ASSUMPTIONS &amp; DATA SOURCES</t>
        </is>
      </c>
    </row>
    <row r="46" ht="80" customHeight="1">
      <c r="B46" s="58" t="inlineStr">
        <is>
          <t>Source: ICAR-CIFA; Karnataka Composite Carp study.
Bottom feeder – essential component of 3-species carp polyculture with Rohu &amp; Catla.
ABW=1.2 kg, Survival=80%, 1 crop/year. Market ₹90–110/kg (used ₹100).
Standalone monoculture returns are modest; best economics in polyculture.</t>
        </is>
      </c>
    </row>
    <row r="47"/>
    <row r="48"/>
    <row r="49"/>
    <row r="50"/>
  </sheetData>
  <mergeCells count="31">
    <mergeCell ref="B2:G2"/>
    <mergeCell ref="B46:G50"/>
    <mergeCell ref="B7:C7"/>
    <mergeCell ref="B17:G17"/>
    <mergeCell ref="B1:G1"/>
    <mergeCell ref="E7"/>
    <mergeCell ref="F6:G6"/>
    <mergeCell ref="D5"/>
    <mergeCell ref="F7:G7"/>
    <mergeCell ref="B34:G34"/>
    <mergeCell ref="B43:F43"/>
    <mergeCell ref="B10:G10"/>
    <mergeCell ref="B39:F39"/>
    <mergeCell ref="B42:F42"/>
    <mergeCell ref="F5:G5"/>
    <mergeCell ref="E5"/>
    <mergeCell ref="B38:F38"/>
    <mergeCell ref="B45:G45"/>
    <mergeCell ref="D6"/>
    <mergeCell ref="B37:F37"/>
    <mergeCell ref="B4:G4"/>
    <mergeCell ref="B40:F40"/>
    <mergeCell ref="B30:F30"/>
    <mergeCell ref="B6:C6"/>
    <mergeCell ref="B15:F15"/>
    <mergeCell ref="B5:C5"/>
    <mergeCell ref="D7"/>
    <mergeCell ref="E6"/>
    <mergeCell ref="B36:F36"/>
    <mergeCell ref="B32:F32"/>
    <mergeCell ref="B41:F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5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20" customWidth="1" min="5" max="5"/>
    <col width="16" customWidth="1" min="6" max="6"/>
    <col width="18" customWidth="1" min="7" max="7"/>
    <col width="5" customWidth="1" min="8" max="8"/>
  </cols>
  <sheetData>
    <row r="1" ht="40" customHeight="1">
      <c r="B1" s="21" t="inlineStr">
        <is>
          <t>🐟  PANGASIUS (BASA / SWAI / PANGAS)  —  DETAILED INVESTMENT &amp; ECONOMICS  (INDIA, 1 HECTARE)</t>
        </is>
      </c>
    </row>
    <row r="2" ht="18" customHeight="1">
      <c r="B2" s="2" t="inlineStr">
        <is>
          <t>Pangasionodon hypophthalmus  |  Intensive Monoculture Pond  |  Water: Freshwater</t>
        </is>
      </c>
    </row>
    <row r="4" ht="24" customHeight="1">
      <c r="B4" s="22" t="inlineStr">
        <is>
          <t>🔑  KEY BIOLOGICAL &amp; ECONOMIC PARAMETERS</t>
        </is>
      </c>
    </row>
    <row r="5" ht="20" customHeight="1">
      <c r="B5" s="18" t="inlineStr">
        <is>
          <t>Culture Duration</t>
        </is>
      </c>
      <c r="D5" s="23" t="inlineStr">
        <is>
          <t>8 months</t>
        </is>
      </c>
      <c r="E5" s="18" t="inlineStr">
        <is>
          <t>Avg. Body Weight at Harvest</t>
        </is>
      </c>
      <c r="F5" s="23" t="inlineStr">
        <is>
          <t>800 g</t>
        </is>
      </c>
    </row>
    <row r="6" ht="20" customHeight="1">
      <c r="B6" s="18" t="inlineStr">
        <is>
          <t>Survival Rate</t>
        </is>
      </c>
      <c r="D6" s="23" t="inlineStr">
        <is>
          <t>85%</t>
        </is>
      </c>
      <c r="E6" s="18" t="inlineStr">
        <is>
          <t>Stocking Density</t>
        </is>
      </c>
      <c r="F6" s="23" t="inlineStr">
        <is>
          <t>20,000 / Ha</t>
        </is>
      </c>
    </row>
    <row r="7" ht="20" customHeight="1">
      <c r="B7" s="18" t="inlineStr">
        <is>
          <t>Market Price (approx.)</t>
        </is>
      </c>
      <c r="D7" s="23" t="inlineStr">
        <is>
          <t>₹ 175 / kg</t>
        </is>
      </c>
      <c r="E7" s="18" t="inlineStr">
        <is>
          <t>Crops per Year</t>
        </is>
      </c>
      <c r="F7" s="23" t="inlineStr">
        <is>
          <t>2</t>
        </is>
      </c>
    </row>
    <row r="9" ht="6" customHeight="1"/>
    <row r="10" ht="26" customHeight="1">
      <c r="B10" s="24" t="inlineStr">
        <is>
          <t>🏗️  SECTION A — CAPITAL INVESTMENT  (One-time / Infrastructure Costs)</t>
        </is>
      </c>
    </row>
    <row r="11" ht="32" customHeight="1">
      <c r="B11" s="25" t="inlineStr">
        <is>
          <t>Sl.No</t>
        </is>
      </c>
      <c r="C11" s="25" t="inlineStr">
        <is>
          <t>Item / Description</t>
        </is>
      </c>
      <c r="D11" s="25" t="inlineStr">
        <is>
          <t>Quantity</t>
        </is>
      </c>
      <c r="E11" s="25" t="inlineStr">
        <is>
          <t>Unit / Rate</t>
        </is>
      </c>
      <c r="F11" s="25" t="inlineStr">
        <is>
          <t>Unit Price (₹)</t>
        </is>
      </c>
      <c r="G11" s="25" t="inlineStr">
        <is>
          <t>Total (₹ lakh)</t>
        </is>
      </c>
    </row>
    <row r="12" ht="18" customHeight="1">
      <c r="B12" s="12" t="n">
        <v>1</v>
      </c>
      <c r="C12" s="10" t="inlineStr">
        <is>
          <t>Pond Construction / Renovation</t>
        </is>
      </c>
      <c r="D12" s="12" t="inlineStr">
        <is>
          <t>1 Ha</t>
        </is>
      </c>
      <c r="E12" s="12" t="inlineStr">
        <is>
          <t>lumpsum</t>
        </is>
      </c>
      <c r="F12" s="26" t="n">
        <v>200000</v>
      </c>
      <c r="G12" s="27" t="n">
        <v>2</v>
      </c>
    </row>
    <row r="13" ht="18" customHeight="1">
      <c r="B13" s="28" t="n">
        <v>2</v>
      </c>
      <c r="C13" s="29" t="inlineStr">
        <is>
          <t>Water Pump &amp; Pipeline</t>
        </is>
      </c>
      <c r="D13" s="28" t="inlineStr">
        <is>
          <t>1 set</t>
        </is>
      </c>
      <c r="E13" s="28" t="inlineStr">
        <is>
          <t>lumpsum</t>
        </is>
      </c>
      <c r="F13" s="30" t="n">
        <v>45000</v>
      </c>
      <c r="G13" s="31" t="n">
        <v>0.45</v>
      </c>
    </row>
    <row r="14" ht="18" customHeight="1">
      <c r="B14" s="12" t="n">
        <v>3</v>
      </c>
      <c r="C14" s="10" t="inlineStr">
        <is>
          <t>Aerators (1 HP × 4)</t>
        </is>
      </c>
      <c r="D14" s="12" t="inlineStr">
        <is>
          <t>4 units</t>
        </is>
      </c>
      <c r="E14" s="12" t="inlineStr">
        <is>
          <t>unit</t>
        </is>
      </c>
      <c r="F14" s="26" t="n">
        <v>18000</v>
      </c>
      <c r="G14" s="27" t="n">
        <v>0.72</v>
      </c>
    </row>
    <row r="15" ht="18" customHeight="1">
      <c r="B15" s="28" t="n">
        <v>4</v>
      </c>
      <c r="C15" s="29" t="inlineStr">
        <is>
          <t>Feed Storage Silo</t>
        </is>
      </c>
      <c r="D15" s="28" t="inlineStr">
        <is>
          <t>1 unit</t>
        </is>
      </c>
      <c r="E15" s="28" t="inlineStr">
        <is>
          <t>lumpsum</t>
        </is>
      </c>
      <c r="F15" s="30" t="n">
        <v>20000</v>
      </c>
      <c r="G15" s="31" t="n">
        <v>0.2</v>
      </c>
    </row>
    <row r="16" ht="18" customHeight="1">
      <c r="B16" s="12" t="n">
        <v>5</v>
      </c>
      <c r="C16" s="10" t="inlineStr">
        <is>
          <t>Nets &amp; Harvesting Equipment</t>
        </is>
      </c>
      <c r="D16" s="12" t="inlineStr">
        <is>
          <t>1 set</t>
        </is>
      </c>
      <c r="E16" s="12" t="inlineStr">
        <is>
          <t>lumpsum</t>
        </is>
      </c>
      <c r="F16" s="26" t="n">
        <v>25000</v>
      </c>
      <c r="G16" s="27" t="n">
        <v>0.25</v>
      </c>
    </row>
    <row r="17" ht="24" customHeight="1">
      <c r="B17" s="32" t="inlineStr">
        <is>
          <t>TOTAL CAPITAL INVESTMENT (A)</t>
        </is>
      </c>
      <c r="G17" s="33" t="n">
        <v>3.62</v>
      </c>
    </row>
    <row r="19" ht="26" customHeight="1">
      <c r="B19" s="34" t="inlineStr">
        <is>
          <t>⚙️  SECTION B — OPERATIONAL COSTS  (Per Crop Recurring Costs)</t>
        </is>
      </c>
    </row>
    <row r="20" ht="32" customHeight="1">
      <c r="B20" s="35" t="inlineStr">
        <is>
          <t>Sl.No</t>
        </is>
      </c>
      <c r="C20" s="35" t="inlineStr">
        <is>
          <t>Item / Description</t>
        </is>
      </c>
      <c r="D20" s="35" t="inlineStr">
        <is>
          <t>Quantity</t>
        </is>
      </c>
      <c r="E20" s="35" t="inlineStr">
        <is>
          <t>Unit / Rate</t>
        </is>
      </c>
      <c r="F20" s="35" t="inlineStr">
        <is>
          <t>Unit Price (₹)</t>
        </is>
      </c>
      <c r="G20" s="35" t="inlineStr">
        <is>
          <t>Total (₹ lakh)</t>
        </is>
      </c>
    </row>
    <row r="21" ht="18" customHeight="1">
      <c r="B21" s="12" t="n">
        <v>1</v>
      </c>
      <c r="C21" s="10" t="inlineStr">
        <is>
          <t>Fingerlings / Seed</t>
        </is>
      </c>
      <c r="D21" s="12" t="inlineStr">
        <is>
          <t>20,000</t>
        </is>
      </c>
      <c r="E21" s="12" t="inlineStr">
        <is>
          <t>@ ₹3/piece</t>
        </is>
      </c>
      <c r="F21" s="26" t="n">
        <v>3</v>
      </c>
      <c r="G21" s="27" t="n">
        <v>0.06</v>
      </c>
    </row>
    <row r="22" ht="18" customHeight="1">
      <c r="B22" s="28" t="n">
        <v>2</v>
      </c>
      <c r="C22" s="29" t="inlineStr">
        <is>
          <t>Pellet Feed (28–32% protein)</t>
        </is>
      </c>
      <c r="D22" s="28" t="inlineStr">
        <is>
          <t>15 tons</t>
        </is>
      </c>
      <c r="E22" s="28" t="inlineStr">
        <is>
          <t>@ ₹6,000/ton</t>
        </is>
      </c>
      <c r="F22" s="30" t="n">
        <v>6000</v>
      </c>
      <c r="G22" s="31" t="n">
        <v>9</v>
      </c>
    </row>
    <row r="23" ht="18" customHeight="1">
      <c r="B23" s="12" t="n">
        <v>3</v>
      </c>
      <c r="C23" s="10" t="inlineStr">
        <is>
          <t>Probiotics &amp; Water Treatment</t>
        </is>
      </c>
      <c r="D23" s="12" t="inlineStr">
        <is>
          <t>Assumed</t>
        </is>
      </c>
      <c r="E23" s="12" t="inlineStr">
        <is>
          <t>lumpsum</t>
        </is>
      </c>
      <c r="F23" s="36" t="inlineStr">
        <is>
          <t>—</t>
        </is>
      </c>
      <c r="G23" s="27" t="n">
        <v>0.3</v>
      </c>
    </row>
    <row r="24" ht="18" customHeight="1">
      <c r="B24" s="28" t="n">
        <v>4</v>
      </c>
      <c r="C24" s="29" t="inlineStr">
        <is>
          <t>Medicines &amp; Chemicals</t>
        </is>
      </c>
      <c r="D24" s="28" t="inlineStr">
        <is>
          <t>Assumed</t>
        </is>
      </c>
      <c r="E24" s="28" t="inlineStr">
        <is>
          <t>lumpsum</t>
        </is>
      </c>
      <c r="F24" s="37" t="inlineStr">
        <is>
          <t>—</t>
        </is>
      </c>
      <c r="G24" s="31" t="n">
        <v>0.5</v>
      </c>
    </row>
    <row r="25" ht="18" customHeight="1">
      <c r="B25" s="12" t="n">
        <v>5</v>
      </c>
      <c r="C25" s="10" t="inlineStr">
        <is>
          <t>Lime &amp; Fertilizers</t>
        </is>
      </c>
      <c r="D25" s="12" t="inlineStr">
        <is>
          <t>Assumed</t>
        </is>
      </c>
      <c r="E25" s="12" t="inlineStr">
        <is>
          <t>lumpsum</t>
        </is>
      </c>
      <c r="F25" s="36" t="inlineStr">
        <is>
          <t>—</t>
        </is>
      </c>
      <c r="G25" s="27" t="n">
        <v>0.2</v>
      </c>
    </row>
    <row r="26" ht="18" customHeight="1">
      <c r="B26" s="28" t="n">
        <v>6</v>
      </c>
      <c r="C26" s="29" t="inlineStr">
        <is>
          <t>Electricity &amp; Aeration</t>
        </is>
      </c>
      <c r="D26" s="28" t="inlineStr">
        <is>
          <t>8 mo</t>
        </is>
      </c>
      <c r="E26" s="28" t="inlineStr">
        <is>
          <t>@ ₹8,000/mo</t>
        </is>
      </c>
      <c r="F26" s="30" t="n">
        <v>8000</v>
      </c>
      <c r="G26" s="31" t="n">
        <v>0.64</v>
      </c>
    </row>
    <row r="27" ht="18" customHeight="1">
      <c r="B27" s="12" t="n">
        <v>7</v>
      </c>
      <c r="C27" s="10" t="inlineStr">
        <is>
          <t>Labour (2 workers)</t>
        </is>
      </c>
      <c r="D27" s="12" t="inlineStr">
        <is>
          <t>8 mo</t>
        </is>
      </c>
      <c r="E27" s="12" t="inlineStr">
        <is>
          <t>@ ₹10,000/mo</t>
        </is>
      </c>
      <c r="F27" s="26" t="n">
        <v>10000</v>
      </c>
      <c r="G27" s="27" t="n">
        <v>0.8</v>
      </c>
    </row>
    <row r="28" ht="18" customHeight="1">
      <c r="B28" s="28" t="n">
        <v>8</v>
      </c>
      <c r="C28" s="29" t="inlineStr">
        <is>
          <t>Harvesting &amp; Cold Chain</t>
        </is>
      </c>
      <c r="D28" s="28" t="inlineStr">
        <is>
          <t>Assumed</t>
        </is>
      </c>
      <c r="E28" s="28" t="inlineStr">
        <is>
          <t>lumpsum</t>
        </is>
      </c>
      <c r="F28" s="37" t="inlineStr">
        <is>
          <t>—</t>
        </is>
      </c>
      <c r="G28" s="31" t="n">
        <v>0.4</v>
      </c>
    </row>
    <row r="29" ht="18" customHeight="1">
      <c r="B29" s="12" t="n">
        <v>9</v>
      </c>
      <c r="C29" s="10" t="inlineStr">
        <is>
          <t>Miscellaneous (5%)</t>
        </is>
      </c>
      <c r="D29" s="12" t="inlineStr">
        <is>
          <t>Assumed</t>
        </is>
      </c>
      <c r="E29" s="12" t="inlineStr">
        <is>
          <t>lumpsum</t>
        </is>
      </c>
      <c r="F29" s="36" t="inlineStr">
        <is>
          <t>—</t>
        </is>
      </c>
      <c r="G29" s="27" t="n">
        <v>0.5</v>
      </c>
    </row>
    <row r="30" ht="24" customHeight="1">
      <c r="B30" s="38" t="inlineStr">
        <is>
          <t>TOTAL OPERATIONAL COST (B)</t>
        </is>
      </c>
      <c r="G30" s="39" t="n">
        <v>12.4</v>
      </c>
    </row>
    <row r="32" ht="26" customHeight="1">
      <c r="B32" s="40" t="inlineStr">
        <is>
          <t>💰  TOTAL INVESTMENT  (A + B = Capital + Operational)</t>
        </is>
      </c>
      <c r="G32" s="41" t="n">
        <v>16.02</v>
      </c>
    </row>
    <row r="34" ht="26" customHeight="1">
      <c r="B34" s="42" t="inlineStr">
        <is>
          <t>📊  PROFIT &amp; LOSS ANALYSIS</t>
        </is>
      </c>
    </row>
    <row r="35" ht="32" customHeight="1">
      <c r="B35" s="43" t="inlineStr"/>
      <c r="C35" s="43" t="inlineStr">
        <is>
          <t>Description</t>
        </is>
      </c>
      <c r="D35" s="43" t="inlineStr"/>
      <c r="E35" s="43" t="inlineStr"/>
      <c r="F35" s="43" t="inlineStr"/>
      <c r="G35" s="43" t="inlineStr">
        <is>
          <t>Amount (₹ lakh)</t>
        </is>
      </c>
    </row>
    <row r="36" ht="22" customHeight="1">
      <c r="B36" s="44" t="inlineStr">
        <is>
          <t>Estimated Production</t>
        </is>
      </c>
      <c r="G36" s="45" t="inlineStr"/>
    </row>
    <row r="37" ht="22" customHeight="1">
      <c r="B37" s="46" t="inlineStr">
        <is>
          <t>Gross Revenue  (13,600 kg × ₹175/kg)</t>
        </is>
      </c>
      <c r="G37" s="47" t="inlineStr">
        <is>
          <t>23.80</t>
        </is>
      </c>
    </row>
    <row r="38" ht="22" customHeight="1">
      <c r="B38" s="48" t="inlineStr">
        <is>
          <t>Less: Total Operational Cost (B)</t>
        </is>
      </c>
      <c r="G38" s="49" t="inlineStr">
        <is>
          <t>(12.400)</t>
        </is>
      </c>
    </row>
    <row r="39" ht="22" customHeight="1">
      <c r="B39" s="50">
        <f> GROSS PROFIT  (Revenue − Operational)</f>
        <v/>
      </c>
      <c r="G39" s="51" t="inlineStr">
        <is>
          <t>11.40</t>
        </is>
      </c>
    </row>
    <row r="40" ht="22" customHeight="1">
      <c r="B40" s="48" t="inlineStr">
        <is>
          <t>Less: Capital Investment (A)</t>
        </is>
      </c>
      <c r="G40" s="49" t="inlineStr">
        <is>
          <t>(3.620)</t>
        </is>
      </c>
    </row>
    <row r="41" ht="22" customHeight="1">
      <c r="B41" s="52">
        <f> NET PROFIT / CROP  (Gross Profit − Capital)</f>
        <v/>
      </c>
      <c r="G41" s="53" t="inlineStr">
        <is>
          <t>7.78</t>
        </is>
      </c>
    </row>
    <row r="42" ht="22" customHeight="1">
      <c r="B42" s="54" t="inlineStr">
        <is>
          <t>Annual Net  (2 crops × Gross Profit − Capital once)</t>
        </is>
      </c>
      <c r="G42" s="42" t="inlineStr">
        <is>
          <t>19.18 lakh/yr</t>
        </is>
      </c>
    </row>
    <row r="43" ht="22" customHeight="1">
      <c r="B43" s="55" t="inlineStr">
        <is>
          <t>Return on Investment  (Annual Net ÷ Total Investment × 100)</t>
        </is>
      </c>
      <c r="G43" s="56" t="inlineStr">
        <is>
          <t>119.7%</t>
        </is>
      </c>
    </row>
    <row r="45" ht="24" customHeight="1">
      <c r="B45" s="57" t="inlineStr">
        <is>
          <t>📝  NOTES, ASSUMPTIONS &amp; DATA SOURCES</t>
        </is>
      </c>
    </row>
    <row r="46" ht="80" customHeight="1">
      <c r="B46" s="58" t="inlineStr">
        <is>
          <t>Source: Agrifarming.in; MPEDA Annual Report 2023-24; ResearchGate Pangasius India.
ABW=800g, Survival=85%, 2 crops/year. Market ₹150–200/kg (used ₹175).
India production: ~152,599 MT in 2023-24 (MPEDA). Major states: AP, WB, Jharkhand.
Feed is the dominant cost (&gt;70% of operational). FCR ≈ 1.5–1.8.</t>
        </is>
      </c>
    </row>
    <row r="47"/>
    <row r="48"/>
    <row r="49"/>
    <row r="50"/>
  </sheetData>
  <mergeCells count="31">
    <mergeCell ref="B2:G2"/>
    <mergeCell ref="B46:G50"/>
    <mergeCell ref="B7:C7"/>
    <mergeCell ref="B1:G1"/>
    <mergeCell ref="E7"/>
    <mergeCell ref="F6:G6"/>
    <mergeCell ref="D5"/>
    <mergeCell ref="F7:G7"/>
    <mergeCell ref="B19:G19"/>
    <mergeCell ref="B34:G34"/>
    <mergeCell ref="B43:F43"/>
    <mergeCell ref="B10:G10"/>
    <mergeCell ref="B39:F39"/>
    <mergeCell ref="B42:F42"/>
    <mergeCell ref="F5:G5"/>
    <mergeCell ref="B17:F17"/>
    <mergeCell ref="E5"/>
    <mergeCell ref="B38:F38"/>
    <mergeCell ref="B45:G45"/>
    <mergeCell ref="D6"/>
    <mergeCell ref="B37:F37"/>
    <mergeCell ref="B4:G4"/>
    <mergeCell ref="B40:F40"/>
    <mergeCell ref="B30:F30"/>
    <mergeCell ref="B6:C6"/>
    <mergeCell ref="B5:C5"/>
    <mergeCell ref="D7"/>
    <mergeCell ref="E6"/>
    <mergeCell ref="B36:F36"/>
    <mergeCell ref="B32:F32"/>
    <mergeCell ref="B41:F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53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20" customWidth="1" min="5" max="5"/>
    <col width="16" customWidth="1" min="6" max="6"/>
    <col width="18" customWidth="1" min="7" max="7"/>
    <col width="5" customWidth="1" min="8" max="8"/>
  </cols>
  <sheetData>
    <row r="1" ht="40" customHeight="1">
      <c r="B1" s="21" t="inlineStr">
        <is>
          <t>🐟  VANNAMEI / PACIFIC WHITE-LEG SHRIMP  —  DETAILED INVESTMENT &amp; ECONOMICS  (INDIA, 1 HECTARE)</t>
        </is>
      </c>
    </row>
    <row r="2" ht="18" customHeight="1">
      <c r="B2" s="2" t="inlineStr">
        <is>
          <t>Litopenaeus vannamei  |  Semi-intensive / Intensive Brackish Pond  |  Water: Brackish / Saline (5–25 ppt)</t>
        </is>
      </c>
    </row>
    <row r="4" ht="24" customHeight="1">
      <c r="B4" s="22" t="inlineStr">
        <is>
          <t>🔑  KEY BIOLOGICAL &amp; ECONOMIC PARAMETERS</t>
        </is>
      </c>
    </row>
    <row r="5" ht="20" customHeight="1">
      <c r="B5" s="18" t="inlineStr">
        <is>
          <t>Culture Duration</t>
        </is>
      </c>
      <c r="D5" s="23" t="inlineStr">
        <is>
          <t>5 months</t>
        </is>
      </c>
      <c r="E5" s="18" t="inlineStr">
        <is>
          <t>Avg. Body Weight at Harvest</t>
        </is>
      </c>
      <c r="F5" s="23" t="inlineStr">
        <is>
          <t>20 g</t>
        </is>
      </c>
    </row>
    <row r="6" ht="20" customHeight="1">
      <c r="B6" s="18" t="inlineStr">
        <is>
          <t>Survival Rate</t>
        </is>
      </c>
      <c r="D6" s="23" t="inlineStr">
        <is>
          <t>70%</t>
        </is>
      </c>
      <c r="E6" s="18" t="inlineStr">
        <is>
          <t>Stocking Density</t>
        </is>
      </c>
      <c r="F6" s="23" t="inlineStr">
        <is>
          <t>500,000 / Ha</t>
        </is>
      </c>
    </row>
    <row r="7" ht="20" customHeight="1">
      <c r="B7" s="18" t="inlineStr">
        <is>
          <t>Market Price (approx.)</t>
        </is>
      </c>
      <c r="D7" s="23" t="inlineStr">
        <is>
          <t>₹ 400 / kg</t>
        </is>
      </c>
      <c r="E7" s="18" t="inlineStr">
        <is>
          <t>Crops per Year</t>
        </is>
      </c>
      <c r="F7" s="23" t="inlineStr">
        <is>
          <t>3</t>
        </is>
      </c>
    </row>
    <row r="9" ht="6" customHeight="1"/>
    <row r="10" ht="26" customHeight="1">
      <c r="B10" s="24" t="inlineStr">
        <is>
          <t>🏗️  SECTION A — CAPITAL INVESTMENT  (One-time / Infrastructure Costs)</t>
        </is>
      </c>
    </row>
    <row r="11" ht="32" customHeight="1">
      <c r="B11" s="25" t="inlineStr">
        <is>
          <t>Sl.No</t>
        </is>
      </c>
      <c r="C11" s="25" t="inlineStr">
        <is>
          <t>Item / Description</t>
        </is>
      </c>
      <c r="D11" s="25" t="inlineStr">
        <is>
          <t>Quantity</t>
        </is>
      </c>
      <c r="E11" s="25" t="inlineStr">
        <is>
          <t>Unit / Rate</t>
        </is>
      </c>
      <c r="F11" s="25" t="inlineStr">
        <is>
          <t>Unit Price (₹)</t>
        </is>
      </c>
      <c r="G11" s="25" t="inlineStr">
        <is>
          <t>Total (₹ lakh)</t>
        </is>
      </c>
    </row>
    <row r="12" ht="18" customHeight="1">
      <c r="B12" s="12" t="n">
        <v>1</v>
      </c>
      <c r="C12" s="10" t="inlineStr">
        <is>
          <t>Pond Construction (lined HDPE)</t>
        </is>
      </c>
      <c r="D12" s="12" t="inlineStr">
        <is>
          <t>1 Ha</t>
        </is>
      </c>
      <c r="E12" s="12" t="inlineStr">
        <is>
          <t>lumpsum</t>
        </is>
      </c>
      <c r="F12" s="26" t="n">
        <v>600000</v>
      </c>
      <c r="G12" s="27" t="n">
        <v>6</v>
      </c>
    </row>
    <row r="13" ht="18" customHeight="1">
      <c r="B13" s="28" t="n">
        <v>2</v>
      </c>
      <c r="C13" s="29" t="inlineStr">
        <is>
          <t>Water Inlet / Outlet Sluice Gates</t>
        </is>
      </c>
      <c r="D13" s="28" t="inlineStr">
        <is>
          <t>1 set</t>
        </is>
      </c>
      <c r="E13" s="28" t="inlineStr">
        <is>
          <t>lumpsum</t>
        </is>
      </c>
      <c r="F13" s="30" t="n">
        <v>80000</v>
      </c>
      <c r="G13" s="31" t="n">
        <v>0.8</v>
      </c>
    </row>
    <row r="14" ht="18" customHeight="1">
      <c r="B14" s="12" t="n">
        <v>3</v>
      </c>
      <c r="C14" s="10" t="inlineStr">
        <is>
          <t>Aerators (paddle wheel, 1 HP × 8)</t>
        </is>
      </c>
      <c r="D14" s="12" t="inlineStr">
        <is>
          <t>8 units</t>
        </is>
      </c>
      <c r="E14" s="12" t="inlineStr">
        <is>
          <t>unit</t>
        </is>
      </c>
      <c r="F14" s="26" t="n">
        <v>18000</v>
      </c>
      <c r="G14" s="27" t="n">
        <v>1.44</v>
      </c>
    </row>
    <row r="15" ht="18" customHeight="1">
      <c r="B15" s="28" t="n">
        <v>4</v>
      </c>
      <c r="C15" s="29" t="inlineStr">
        <is>
          <t>Generator (10 kVA)</t>
        </is>
      </c>
      <c r="D15" s="28" t="inlineStr">
        <is>
          <t>1 unit</t>
        </is>
      </c>
      <c r="E15" s="28" t="inlineStr">
        <is>
          <t>unit</t>
        </is>
      </c>
      <c r="F15" s="30" t="n">
        <v>120000</v>
      </c>
      <c r="G15" s="31" t="n">
        <v>1.2</v>
      </c>
    </row>
    <row r="16" ht="18" customHeight="1">
      <c r="B16" s="12" t="n">
        <v>5</v>
      </c>
      <c r="C16" s="10" t="inlineStr">
        <is>
          <t>Water Pump (5 HP)</t>
        </is>
      </c>
      <c r="D16" s="12" t="inlineStr">
        <is>
          <t>1 unit</t>
        </is>
      </c>
      <c r="E16" s="12" t="inlineStr">
        <is>
          <t>unit</t>
        </is>
      </c>
      <c r="F16" s="26" t="n">
        <v>35000</v>
      </c>
      <c r="G16" s="27" t="n">
        <v>0.35</v>
      </c>
    </row>
    <row r="17" ht="18" customHeight="1">
      <c r="B17" s="28" t="n">
        <v>6</v>
      </c>
      <c r="C17" s="29" t="inlineStr">
        <is>
          <t>Lab / Biosecurity Equipment</t>
        </is>
      </c>
      <c r="D17" s="28" t="inlineStr">
        <is>
          <t>1 set</t>
        </is>
      </c>
      <c r="E17" s="28" t="inlineStr">
        <is>
          <t>lumpsum</t>
        </is>
      </c>
      <c r="F17" s="30" t="n">
        <v>50000</v>
      </c>
      <c r="G17" s="31" t="n">
        <v>0.5</v>
      </c>
    </row>
    <row r="18" ht="18" customHeight="1">
      <c r="B18" s="12" t="n">
        <v>7</v>
      </c>
      <c r="C18" s="10" t="inlineStr">
        <is>
          <t>Storage &amp; Processing Shed</t>
        </is>
      </c>
      <c r="D18" s="12" t="inlineStr">
        <is>
          <t>1 unit</t>
        </is>
      </c>
      <c r="E18" s="12" t="inlineStr">
        <is>
          <t>lumpsum</t>
        </is>
      </c>
      <c r="F18" s="26" t="n">
        <v>60000</v>
      </c>
      <c r="G18" s="27" t="n">
        <v>0.6</v>
      </c>
    </row>
    <row r="19" ht="18" customHeight="1">
      <c r="B19" s="28" t="n">
        <v>8</v>
      </c>
      <c r="C19" s="29" t="inlineStr">
        <is>
          <t>CAA License &amp; Regulatory Fees</t>
        </is>
      </c>
      <c r="D19" s="28" t="inlineStr">
        <is>
          <t>1 time</t>
        </is>
      </c>
      <c r="E19" s="28" t="inlineStr">
        <is>
          <t>lumpsum</t>
        </is>
      </c>
      <c r="F19" s="30" t="n">
        <v>15000</v>
      </c>
      <c r="G19" s="31" t="n">
        <v>0.15</v>
      </c>
    </row>
    <row r="20" ht="24" customHeight="1">
      <c r="B20" s="32" t="inlineStr">
        <is>
          <t>TOTAL CAPITAL INVESTMENT (A)</t>
        </is>
      </c>
      <c r="G20" s="33" t="n">
        <v>11.04</v>
      </c>
    </row>
    <row r="22" ht="26" customHeight="1">
      <c r="B22" s="34" t="inlineStr">
        <is>
          <t>⚙️  SECTION B — OPERATIONAL COSTS  (Per Crop Recurring Costs)</t>
        </is>
      </c>
    </row>
    <row r="23" ht="32" customHeight="1">
      <c r="B23" s="35" t="inlineStr">
        <is>
          <t>Sl.No</t>
        </is>
      </c>
      <c r="C23" s="35" t="inlineStr">
        <is>
          <t>Item / Description</t>
        </is>
      </c>
      <c r="D23" s="35" t="inlineStr">
        <is>
          <t>Quantity</t>
        </is>
      </c>
      <c r="E23" s="35" t="inlineStr">
        <is>
          <t>Unit / Rate</t>
        </is>
      </c>
      <c r="F23" s="35" t="inlineStr">
        <is>
          <t>Unit Price (₹)</t>
        </is>
      </c>
      <c r="G23" s="35" t="inlineStr">
        <is>
          <t>Total (₹ lakh)</t>
        </is>
      </c>
    </row>
    <row r="24" ht="18" customHeight="1">
      <c r="B24" s="12" t="n">
        <v>1</v>
      </c>
      <c r="C24" s="10" t="inlineStr">
        <is>
          <t>Post-Larvae (PL-10/12)</t>
        </is>
      </c>
      <c r="D24" s="12" t="inlineStr">
        <is>
          <t>5,00,000</t>
        </is>
      </c>
      <c r="E24" s="12" t="inlineStr">
        <is>
          <t>@ ₹1/PL</t>
        </is>
      </c>
      <c r="F24" s="26" t="n">
        <v>1</v>
      </c>
      <c r="G24" s="27" t="n">
        <v>5</v>
      </c>
    </row>
    <row r="25" ht="18" customHeight="1">
      <c r="B25" s="28" t="n">
        <v>2</v>
      </c>
      <c r="C25" s="29" t="inlineStr">
        <is>
          <t>Shrimp Feed (35–40% protein)</t>
        </is>
      </c>
      <c r="D25" s="28" t="inlineStr">
        <is>
          <t>9.1 tons</t>
        </is>
      </c>
      <c r="E25" s="28" t="inlineStr">
        <is>
          <t>@ ₹70k/ton</t>
        </is>
      </c>
      <c r="F25" s="30" t="n">
        <v>70000</v>
      </c>
      <c r="G25" s="31" t="n">
        <v>6.37</v>
      </c>
    </row>
    <row r="26" ht="18" customHeight="1">
      <c r="B26" s="12" t="n">
        <v>3</v>
      </c>
      <c r="C26" s="10" t="inlineStr">
        <is>
          <t>Probiotics &amp; Bio-security inputs</t>
        </is>
      </c>
      <c r="D26" s="12" t="inlineStr">
        <is>
          <t>Assumed</t>
        </is>
      </c>
      <c r="E26" s="12" t="inlineStr">
        <is>
          <t>lumpsum</t>
        </is>
      </c>
      <c r="F26" s="36" t="inlineStr">
        <is>
          <t>—</t>
        </is>
      </c>
      <c r="G26" s="27" t="n">
        <v>1.5</v>
      </c>
    </row>
    <row r="27" ht="18" customHeight="1">
      <c r="B27" s="28" t="n">
        <v>4</v>
      </c>
      <c r="C27" s="29" t="inlineStr">
        <is>
          <t>Pond Preparation (Lime, Bleach)</t>
        </is>
      </c>
      <c r="D27" s="28" t="inlineStr">
        <is>
          <t>Assumed</t>
        </is>
      </c>
      <c r="E27" s="28" t="inlineStr">
        <is>
          <t>lumpsum</t>
        </is>
      </c>
      <c r="F27" s="37" t="inlineStr">
        <is>
          <t>—</t>
        </is>
      </c>
      <c r="G27" s="31" t="n">
        <v>0.8</v>
      </c>
    </row>
    <row r="28" ht="18" customHeight="1">
      <c r="B28" s="12" t="n">
        <v>5</v>
      </c>
      <c r="C28" s="10" t="inlineStr">
        <is>
          <t>Medicines &amp; Disease Management</t>
        </is>
      </c>
      <c r="D28" s="12" t="inlineStr">
        <is>
          <t>Assumed</t>
        </is>
      </c>
      <c r="E28" s="12" t="inlineStr">
        <is>
          <t>lumpsum</t>
        </is>
      </c>
      <c r="F28" s="36" t="inlineStr">
        <is>
          <t>—</t>
        </is>
      </c>
      <c r="G28" s="27" t="n">
        <v>1.2</v>
      </c>
    </row>
    <row r="29" ht="18" customHeight="1">
      <c r="B29" s="28" t="n">
        <v>6</v>
      </c>
      <c r="C29" s="29" t="inlineStr">
        <is>
          <t>Electricity (continuous aeration)</t>
        </is>
      </c>
      <c r="D29" s="28" t="inlineStr">
        <is>
          <t>5 mo</t>
        </is>
      </c>
      <c r="E29" s="28" t="inlineStr">
        <is>
          <t>@ ₹20k/mo</t>
        </is>
      </c>
      <c r="F29" s="30" t="n">
        <v>20000</v>
      </c>
      <c r="G29" s="31" t="n">
        <v>1</v>
      </c>
    </row>
    <row r="30" ht="18" customHeight="1">
      <c r="B30" s="12" t="n">
        <v>7</v>
      </c>
      <c r="C30" s="10" t="inlineStr">
        <is>
          <t>Labour (3 workers)</t>
        </is>
      </c>
      <c r="D30" s="12" t="inlineStr">
        <is>
          <t>5 mo</t>
        </is>
      </c>
      <c r="E30" s="12" t="inlineStr">
        <is>
          <t>@ ₹10k/mo</t>
        </is>
      </c>
      <c r="F30" s="26" t="n">
        <v>10000</v>
      </c>
      <c r="G30" s="27" t="n">
        <v>1.5</v>
      </c>
    </row>
    <row r="31" ht="18" customHeight="1">
      <c r="B31" s="28" t="n">
        <v>8</v>
      </c>
      <c r="C31" s="29" t="inlineStr">
        <is>
          <t>Harvesting, Ice &amp; Cold Chain</t>
        </is>
      </c>
      <c r="D31" s="28" t="inlineStr">
        <is>
          <t>Assumed</t>
        </is>
      </c>
      <c r="E31" s="28" t="inlineStr">
        <is>
          <t>lumpsum</t>
        </is>
      </c>
      <c r="F31" s="37" t="inlineStr">
        <is>
          <t>—</t>
        </is>
      </c>
      <c r="G31" s="31" t="n">
        <v>0.8</v>
      </c>
    </row>
    <row r="32" ht="18" customHeight="1">
      <c r="B32" s="12" t="n">
        <v>9</v>
      </c>
      <c r="C32" s="10" t="inlineStr">
        <is>
          <t>Miscellaneous / Contingency</t>
        </is>
      </c>
      <c r="D32" s="12" t="inlineStr">
        <is>
          <t>Assumed</t>
        </is>
      </c>
      <c r="E32" s="12" t="inlineStr">
        <is>
          <t>lumpsum</t>
        </is>
      </c>
      <c r="F32" s="36" t="inlineStr">
        <is>
          <t>—</t>
        </is>
      </c>
      <c r="G32" s="27" t="n">
        <v>0.8</v>
      </c>
    </row>
    <row r="33" ht="24" customHeight="1">
      <c r="B33" s="38" t="inlineStr">
        <is>
          <t>TOTAL OPERATIONAL COST (B)</t>
        </is>
      </c>
      <c r="G33" s="39" t="n">
        <v>18.97</v>
      </c>
    </row>
    <row r="35" ht="26" customHeight="1">
      <c r="B35" s="40" t="inlineStr">
        <is>
          <t>💰  TOTAL INVESTMENT  (A + B = Capital + Operational)</t>
        </is>
      </c>
      <c r="G35" s="41" t="n">
        <v>30.01</v>
      </c>
    </row>
    <row r="37" ht="26" customHeight="1">
      <c r="B37" s="42" t="inlineStr">
        <is>
          <t>📊  PROFIT &amp; LOSS ANALYSIS</t>
        </is>
      </c>
    </row>
    <row r="38" ht="32" customHeight="1">
      <c r="B38" s="43" t="inlineStr"/>
      <c r="C38" s="43" t="inlineStr">
        <is>
          <t>Description</t>
        </is>
      </c>
      <c r="D38" s="43" t="inlineStr"/>
      <c r="E38" s="43" t="inlineStr"/>
      <c r="F38" s="43" t="inlineStr"/>
      <c r="G38" s="43" t="inlineStr">
        <is>
          <t>Amount (₹ lakh)</t>
        </is>
      </c>
    </row>
    <row r="39" ht="22" customHeight="1">
      <c r="B39" s="44" t="inlineStr">
        <is>
          <t>Estimated Production</t>
        </is>
      </c>
      <c r="G39" s="45" t="inlineStr"/>
    </row>
    <row r="40" ht="22" customHeight="1">
      <c r="B40" s="46" t="inlineStr">
        <is>
          <t>Gross Revenue  (7,000 kg × ₹400/kg)</t>
        </is>
      </c>
      <c r="G40" s="47" t="inlineStr">
        <is>
          <t>28.00</t>
        </is>
      </c>
    </row>
    <row r="41" ht="22" customHeight="1">
      <c r="B41" s="48" t="inlineStr">
        <is>
          <t>Less: Total Operational Cost (B)</t>
        </is>
      </c>
      <c r="G41" s="49" t="inlineStr">
        <is>
          <t>(18.970)</t>
        </is>
      </c>
    </row>
    <row r="42" ht="22" customHeight="1">
      <c r="B42" s="50">
        <f> GROSS PROFIT  (Revenue − Operational)</f>
        <v/>
      </c>
      <c r="G42" s="51" t="inlineStr">
        <is>
          <t>9.03</t>
        </is>
      </c>
    </row>
    <row r="43" ht="22" customHeight="1">
      <c r="B43" s="48" t="inlineStr">
        <is>
          <t>Less: Capital Investment (A)</t>
        </is>
      </c>
      <c r="G43" s="49" t="inlineStr">
        <is>
          <t>(11.040)</t>
        </is>
      </c>
    </row>
    <row r="44" ht="22" customHeight="1">
      <c r="B44" s="52">
        <f> NET PROFIT / CROP  (Gross Profit − Capital)</f>
        <v/>
      </c>
      <c r="G44" s="53" t="inlineStr">
        <is>
          <t>-2.01</t>
        </is>
      </c>
    </row>
    <row r="45" ht="22" customHeight="1">
      <c r="B45" s="54" t="inlineStr">
        <is>
          <t>Annual Net  (3 crops × Gross Profit − Capital once)</t>
        </is>
      </c>
      <c r="G45" s="42" t="inlineStr">
        <is>
          <t>16.05 lakh/yr</t>
        </is>
      </c>
    </row>
    <row r="46" ht="22" customHeight="1">
      <c r="B46" s="55" t="inlineStr">
        <is>
          <t>Return on Investment  (Annual Net ÷ Total Investment × 100)</t>
        </is>
      </c>
      <c r="G46" s="56" t="inlineStr">
        <is>
          <t>53.5%</t>
        </is>
      </c>
    </row>
    <row r="48" ht="24" customHeight="1">
      <c r="B48" s="57" t="inlineStr">
        <is>
          <t>📝  NOTES, ASSUMPTIONS &amp; DATA SOURCES</t>
        </is>
      </c>
    </row>
    <row r="49" ht="80" customHeight="1">
      <c r="B49" s="58" t="inlineStr">
        <is>
          <t>Source: MPEDA 2023-24; PLOS ONE 2021; Tamil Nadu Economic Analysis (Asian Journal 2021).
ABW=20g, Survival=72%, 2–3 crops/year. Market ₹350–450/kg (used ₹400, size 50-60 count).
India L. vannamei production: 1.077 million MT in 2023-24 (MPEDA).
Disease risk (WSSV, EHP, WFD) is major constraint. Biosecurity &amp; SPF seeds critical.
HDPE-lined ponds increase capital cost but reduce disease risk significantly.
CAA (Coastal Aquaculture Authority) license mandatory.</t>
        </is>
      </c>
    </row>
    <row r="50"/>
    <row r="51"/>
    <row r="52"/>
    <row r="53"/>
  </sheetData>
  <mergeCells count="31">
    <mergeCell ref="B2:G2"/>
    <mergeCell ref="B7:C7"/>
    <mergeCell ref="B1:G1"/>
    <mergeCell ref="E7"/>
    <mergeCell ref="F6:G6"/>
    <mergeCell ref="B46:F46"/>
    <mergeCell ref="D5"/>
    <mergeCell ref="F7:G7"/>
    <mergeCell ref="B43:F43"/>
    <mergeCell ref="B10:G10"/>
    <mergeCell ref="B39:F39"/>
    <mergeCell ref="B37:G37"/>
    <mergeCell ref="B42:F42"/>
    <mergeCell ref="F5:G5"/>
    <mergeCell ref="E5"/>
    <mergeCell ref="B44:F44"/>
    <mergeCell ref="B49:G53"/>
    <mergeCell ref="D6"/>
    <mergeCell ref="B4:G4"/>
    <mergeCell ref="B40:F40"/>
    <mergeCell ref="B6:C6"/>
    <mergeCell ref="B22:G22"/>
    <mergeCell ref="B20:F20"/>
    <mergeCell ref="B5:C5"/>
    <mergeCell ref="B33:F33"/>
    <mergeCell ref="D7"/>
    <mergeCell ref="E6"/>
    <mergeCell ref="B45:F45"/>
    <mergeCell ref="B48:G48"/>
    <mergeCell ref="B41:F41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5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20" customWidth="1" min="5" max="5"/>
    <col width="16" customWidth="1" min="6" max="6"/>
    <col width="18" customWidth="1" min="7" max="7"/>
    <col width="5" customWidth="1" min="8" max="8"/>
  </cols>
  <sheetData>
    <row r="1" ht="40" customHeight="1">
      <c r="B1" s="21" t="inlineStr">
        <is>
          <t>🐟  NILE TILAPIA / GIFT TILAPIA  —  DETAILED INVESTMENT &amp; ECONOMICS  (INDIA, 1 HECTARE)</t>
        </is>
      </c>
    </row>
    <row r="2" ht="18" customHeight="1">
      <c r="B2" s="2" t="inlineStr">
        <is>
          <t>Oreochromis niloticus (GIFT strain)  |  Monosex Intensive Pond / Cage Culture  |  Water: Freshwater (tolerates mild brackish)</t>
        </is>
      </c>
    </row>
    <row r="4" ht="24" customHeight="1">
      <c r="B4" s="22" t="inlineStr">
        <is>
          <t>🔑  KEY BIOLOGICAL &amp; ECONOMIC PARAMETERS</t>
        </is>
      </c>
    </row>
    <row r="5" ht="20" customHeight="1">
      <c r="B5" s="18" t="inlineStr">
        <is>
          <t>Culture Duration</t>
        </is>
      </c>
      <c r="D5" s="23" t="inlineStr">
        <is>
          <t>5 months</t>
        </is>
      </c>
      <c r="E5" s="18" t="inlineStr">
        <is>
          <t>Avg. Body Weight at Harvest</t>
        </is>
      </c>
      <c r="F5" s="23" t="inlineStr">
        <is>
          <t>450 g</t>
        </is>
      </c>
    </row>
    <row r="6" ht="20" customHeight="1">
      <c r="B6" s="18" t="inlineStr">
        <is>
          <t>Survival Rate</t>
        </is>
      </c>
      <c r="D6" s="23" t="inlineStr">
        <is>
          <t>85%</t>
        </is>
      </c>
      <c r="E6" s="18" t="inlineStr">
        <is>
          <t>Stocking Density</t>
        </is>
      </c>
      <c r="F6" s="23" t="inlineStr">
        <is>
          <t>30,000 / Ha</t>
        </is>
      </c>
    </row>
    <row r="7" ht="20" customHeight="1">
      <c r="B7" s="18" t="inlineStr">
        <is>
          <t>Market Price (approx.)</t>
        </is>
      </c>
      <c r="D7" s="23" t="inlineStr">
        <is>
          <t>₹ 160 / kg</t>
        </is>
      </c>
      <c r="E7" s="18" t="inlineStr">
        <is>
          <t>Crops per Year</t>
        </is>
      </c>
      <c r="F7" s="23" t="inlineStr">
        <is>
          <t>3</t>
        </is>
      </c>
    </row>
    <row r="9" ht="6" customHeight="1"/>
    <row r="10" ht="26" customHeight="1">
      <c r="B10" s="24" t="inlineStr">
        <is>
          <t>🏗️  SECTION A — CAPITAL INVESTMENT  (One-time / Infrastructure Costs)</t>
        </is>
      </c>
    </row>
    <row r="11" ht="32" customHeight="1">
      <c r="B11" s="25" t="inlineStr">
        <is>
          <t>Sl.No</t>
        </is>
      </c>
      <c r="C11" s="25" t="inlineStr">
        <is>
          <t>Item / Description</t>
        </is>
      </c>
      <c r="D11" s="25" t="inlineStr">
        <is>
          <t>Quantity</t>
        </is>
      </c>
      <c r="E11" s="25" t="inlineStr">
        <is>
          <t>Unit / Rate</t>
        </is>
      </c>
      <c r="F11" s="25" t="inlineStr">
        <is>
          <t>Unit Price (₹)</t>
        </is>
      </c>
      <c r="G11" s="25" t="inlineStr">
        <is>
          <t>Total (₹ lakh)</t>
        </is>
      </c>
    </row>
    <row r="12" ht="18" customHeight="1">
      <c r="B12" s="12" t="n">
        <v>1</v>
      </c>
      <c r="C12" s="10" t="inlineStr">
        <is>
          <t>Pond Construction / Renovation</t>
        </is>
      </c>
      <c r="D12" s="12" t="inlineStr">
        <is>
          <t>1 Ha</t>
        </is>
      </c>
      <c r="E12" s="12" t="inlineStr">
        <is>
          <t>lumpsum</t>
        </is>
      </c>
      <c r="F12" s="26" t="n">
        <v>180000</v>
      </c>
      <c r="G12" s="27" t="n">
        <v>1.8</v>
      </c>
    </row>
    <row r="13" ht="18" customHeight="1">
      <c r="B13" s="28" t="n">
        <v>2</v>
      </c>
      <c r="C13" s="29" t="inlineStr">
        <is>
          <t>Water Supply Pump</t>
        </is>
      </c>
      <c r="D13" s="28" t="inlineStr">
        <is>
          <t>1 unit</t>
        </is>
      </c>
      <c r="E13" s="28" t="inlineStr">
        <is>
          <t>unit</t>
        </is>
      </c>
      <c r="F13" s="30" t="n">
        <v>25000</v>
      </c>
      <c r="G13" s="31" t="n">
        <v>0.25</v>
      </c>
    </row>
    <row r="14" ht="18" customHeight="1">
      <c r="B14" s="12" t="n">
        <v>3</v>
      </c>
      <c r="C14" s="10" t="inlineStr">
        <is>
          <t>Aerators (1 HP × 3)</t>
        </is>
      </c>
      <c r="D14" s="12" t="inlineStr">
        <is>
          <t>3 units</t>
        </is>
      </c>
      <c r="E14" s="12" t="inlineStr">
        <is>
          <t>unit</t>
        </is>
      </c>
      <c r="F14" s="26" t="n">
        <v>18000</v>
      </c>
      <c r="G14" s="27" t="n">
        <v>0.54</v>
      </c>
    </row>
    <row r="15" ht="18" customHeight="1">
      <c r="B15" s="28" t="n">
        <v>4</v>
      </c>
      <c r="C15" s="29" t="inlineStr">
        <is>
          <t>Feed Spreader / Feeder</t>
        </is>
      </c>
      <c r="D15" s="28" t="inlineStr">
        <is>
          <t>1 unit</t>
        </is>
      </c>
      <c r="E15" s="28" t="inlineStr">
        <is>
          <t>lumpsum</t>
        </is>
      </c>
      <c r="F15" s="30" t="n">
        <v>12000</v>
      </c>
      <c r="G15" s="31" t="n">
        <v>0.12</v>
      </c>
    </row>
    <row r="16" ht="18" customHeight="1">
      <c r="B16" s="12" t="n">
        <v>5</v>
      </c>
      <c r="C16" s="10" t="inlineStr">
        <is>
          <t>Nets &amp; Harvesting Equipment</t>
        </is>
      </c>
      <c r="D16" s="12" t="inlineStr">
        <is>
          <t>1 set</t>
        </is>
      </c>
      <c r="E16" s="12" t="inlineStr">
        <is>
          <t>lumpsum</t>
        </is>
      </c>
      <c r="F16" s="26" t="n">
        <v>20000</v>
      </c>
      <c r="G16" s="27" t="n">
        <v>0.2</v>
      </c>
    </row>
    <row r="17" ht="24" customHeight="1">
      <c r="B17" s="32" t="inlineStr">
        <is>
          <t>TOTAL CAPITAL INVESTMENT (A)</t>
        </is>
      </c>
      <c r="G17" s="33" t="n">
        <v>2.91</v>
      </c>
    </row>
    <row r="19" ht="26" customHeight="1">
      <c r="B19" s="34" t="inlineStr">
        <is>
          <t>⚙️  SECTION B — OPERATIONAL COSTS  (Per Crop Recurring Costs)</t>
        </is>
      </c>
    </row>
    <row r="20" ht="32" customHeight="1">
      <c r="B20" s="35" t="inlineStr">
        <is>
          <t>Sl.No</t>
        </is>
      </c>
      <c r="C20" s="35" t="inlineStr">
        <is>
          <t>Item / Description</t>
        </is>
      </c>
      <c r="D20" s="35" t="inlineStr">
        <is>
          <t>Quantity</t>
        </is>
      </c>
      <c r="E20" s="35" t="inlineStr">
        <is>
          <t>Unit / Rate</t>
        </is>
      </c>
      <c r="F20" s="35" t="inlineStr">
        <is>
          <t>Unit Price (₹)</t>
        </is>
      </c>
      <c r="G20" s="35" t="inlineStr">
        <is>
          <t>Total (₹ lakh)</t>
        </is>
      </c>
    </row>
    <row r="21" ht="18" customHeight="1">
      <c r="B21" s="12" t="n">
        <v>1</v>
      </c>
      <c r="C21" s="10" t="inlineStr">
        <is>
          <t>Monosex Seed (GIFT / Nile strain)</t>
        </is>
      </c>
      <c r="D21" s="12" t="inlineStr">
        <is>
          <t>30,000</t>
        </is>
      </c>
      <c r="E21" s="12" t="inlineStr">
        <is>
          <t>@ ₹10/piece</t>
        </is>
      </c>
      <c r="F21" s="26" t="n">
        <v>10</v>
      </c>
      <c r="G21" s="27" t="n">
        <v>0.3</v>
      </c>
    </row>
    <row r="22" ht="18" customHeight="1">
      <c r="B22" s="28" t="n">
        <v>2</v>
      </c>
      <c r="C22" s="29" t="inlineStr">
        <is>
          <t>Pellet Feed (28–32% protein)</t>
        </is>
      </c>
      <c r="D22" s="28" t="inlineStr">
        <is>
          <t>5 tons</t>
        </is>
      </c>
      <c r="E22" s="28" t="inlineStr">
        <is>
          <t>@ ₹7,500/ton</t>
        </is>
      </c>
      <c r="F22" s="30" t="n">
        <v>7500</v>
      </c>
      <c r="G22" s="31" t="n">
        <v>3.75</v>
      </c>
    </row>
    <row r="23" ht="18" customHeight="1">
      <c r="B23" s="12" t="n">
        <v>3</v>
      </c>
      <c r="C23" s="10" t="inlineStr">
        <is>
          <t>Lime &amp; Pond Treatment</t>
        </is>
      </c>
      <c r="D23" s="12" t="inlineStr">
        <is>
          <t>300 kg</t>
        </is>
      </c>
      <c r="E23" s="12" t="inlineStr">
        <is>
          <t>@ ₹8/kg</t>
        </is>
      </c>
      <c r="F23" s="26" t="n">
        <v>8</v>
      </c>
      <c r="G23" s="27" t="n">
        <v>0.024</v>
      </c>
    </row>
    <row r="24" ht="18" customHeight="1">
      <c r="B24" s="28" t="n">
        <v>4</v>
      </c>
      <c r="C24" s="29" t="inlineStr">
        <is>
          <t>Probiotics &amp; Water Additives</t>
        </is>
      </c>
      <c r="D24" s="28" t="inlineStr">
        <is>
          <t>Assumed</t>
        </is>
      </c>
      <c r="E24" s="28" t="inlineStr">
        <is>
          <t>lumpsum</t>
        </is>
      </c>
      <c r="F24" s="37" t="inlineStr">
        <is>
          <t>—</t>
        </is>
      </c>
      <c r="G24" s="31" t="n">
        <v>0.25</v>
      </c>
    </row>
    <row r="25" ht="18" customHeight="1">
      <c r="B25" s="12" t="n">
        <v>5</v>
      </c>
      <c r="C25" s="10" t="inlineStr">
        <is>
          <t>Medicines &amp; Chemicals</t>
        </is>
      </c>
      <c r="D25" s="12" t="inlineStr">
        <is>
          <t>Assumed</t>
        </is>
      </c>
      <c r="E25" s="12" t="inlineStr">
        <is>
          <t>lumpsum</t>
        </is>
      </c>
      <c r="F25" s="36" t="inlineStr">
        <is>
          <t>—</t>
        </is>
      </c>
      <c r="G25" s="27" t="n">
        <v>0.25</v>
      </c>
    </row>
    <row r="26" ht="18" customHeight="1">
      <c r="B26" s="28" t="n">
        <v>6</v>
      </c>
      <c r="C26" s="29" t="inlineStr">
        <is>
          <t>Electricity</t>
        </is>
      </c>
      <c r="D26" s="28" t="inlineStr">
        <is>
          <t>5 mo</t>
        </is>
      </c>
      <c r="E26" s="28" t="inlineStr">
        <is>
          <t>@ ₹5,000/mo</t>
        </is>
      </c>
      <c r="F26" s="30" t="n">
        <v>5000</v>
      </c>
      <c r="G26" s="31" t="n">
        <v>0.25</v>
      </c>
    </row>
    <row r="27" ht="18" customHeight="1">
      <c r="B27" s="12" t="n">
        <v>7</v>
      </c>
      <c r="C27" s="10" t="inlineStr">
        <is>
          <t>Labour (1.5 workers)</t>
        </is>
      </c>
      <c r="D27" s="12" t="inlineStr">
        <is>
          <t>5 mo</t>
        </is>
      </c>
      <c r="E27" s="12" t="inlineStr">
        <is>
          <t>@ ₹9,000/mo</t>
        </is>
      </c>
      <c r="F27" s="26" t="n">
        <v>9000</v>
      </c>
      <c r="G27" s="27" t="n">
        <v>0.45</v>
      </c>
    </row>
    <row r="28" ht="18" customHeight="1">
      <c r="B28" s="28" t="n">
        <v>8</v>
      </c>
      <c r="C28" s="29" t="inlineStr">
        <is>
          <t>Harvesting &amp; Transport</t>
        </is>
      </c>
      <c r="D28" s="28" t="inlineStr">
        <is>
          <t>Assumed</t>
        </is>
      </c>
      <c r="E28" s="28" t="inlineStr">
        <is>
          <t>lumpsum</t>
        </is>
      </c>
      <c r="F28" s="37" t="inlineStr">
        <is>
          <t>—</t>
        </is>
      </c>
      <c r="G28" s="31" t="n">
        <v>0.15</v>
      </c>
    </row>
    <row r="29" ht="18" customHeight="1">
      <c r="B29" s="12" t="n">
        <v>9</v>
      </c>
      <c r="C29" s="10" t="inlineStr">
        <is>
          <t>Miscellaneous</t>
        </is>
      </c>
      <c r="D29" s="12" t="inlineStr">
        <is>
          <t>Assumed</t>
        </is>
      </c>
      <c r="E29" s="12" t="inlineStr">
        <is>
          <t>lumpsum</t>
        </is>
      </c>
      <c r="F29" s="36" t="inlineStr">
        <is>
          <t>—</t>
        </is>
      </c>
      <c r="G29" s="27" t="n">
        <v>0.12</v>
      </c>
    </row>
    <row r="30" ht="24" customHeight="1">
      <c r="B30" s="38" t="inlineStr">
        <is>
          <t>TOTAL OPERATIONAL COST (B)</t>
        </is>
      </c>
      <c r="G30" s="39" t="n">
        <v>5.544</v>
      </c>
    </row>
    <row r="32" ht="26" customHeight="1">
      <c r="B32" s="40" t="inlineStr">
        <is>
          <t>💰  TOTAL INVESTMENT  (A + B = Capital + Operational)</t>
        </is>
      </c>
      <c r="G32" s="41" t="n">
        <v>8.454000000000001</v>
      </c>
    </row>
    <row r="34" ht="26" customHeight="1">
      <c r="B34" s="42" t="inlineStr">
        <is>
          <t>📊  PROFIT &amp; LOSS ANALYSIS</t>
        </is>
      </c>
    </row>
    <row r="35" ht="32" customHeight="1">
      <c r="B35" s="43" t="inlineStr"/>
      <c r="C35" s="43" t="inlineStr">
        <is>
          <t>Description</t>
        </is>
      </c>
      <c r="D35" s="43" t="inlineStr"/>
      <c r="E35" s="43" t="inlineStr"/>
      <c r="F35" s="43" t="inlineStr"/>
      <c r="G35" s="43" t="inlineStr">
        <is>
          <t>Amount (₹ lakh)</t>
        </is>
      </c>
    </row>
    <row r="36" ht="22" customHeight="1">
      <c r="B36" s="44" t="inlineStr">
        <is>
          <t>Estimated Production</t>
        </is>
      </c>
      <c r="G36" s="45" t="inlineStr"/>
    </row>
    <row r="37" ht="22" customHeight="1">
      <c r="B37" s="46" t="inlineStr">
        <is>
          <t>Gross Revenue  (11,475 kg × ₹160/kg)</t>
        </is>
      </c>
      <c r="G37" s="47" t="inlineStr">
        <is>
          <t>18.36</t>
        </is>
      </c>
    </row>
    <row r="38" ht="22" customHeight="1">
      <c r="B38" s="48" t="inlineStr">
        <is>
          <t>Less: Total Operational Cost (B)</t>
        </is>
      </c>
      <c r="G38" s="49" t="inlineStr">
        <is>
          <t>(5.544)</t>
        </is>
      </c>
    </row>
    <row r="39" ht="22" customHeight="1">
      <c r="B39" s="50">
        <f> GROSS PROFIT  (Revenue − Operational)</f>
        <v/>
      </c>
      <c r="G39" s="51" t="inlineStr">
        <is>
          <t>12.82</t>
        </is>
      </c>
    </row>
    <row r="40" ht="22" customHeight="1">
      <c r="B40" s="48" t="inlineStr">
        <is>
          <t>Less: Capital Investment (A)</t>
        </is>
      </c>
      <c r="G40" s="49" t="inlineStr">
        <is>
          <t>(2.910)</t>
        </is>
      </c>
    </row>
    <row r="41" ht="22" customHeight="1">
      <c r="B41" s="52">
        <f> NET PROFIT / CROP  (Gross Profit − Capital)</f>
        <v/>
      </c>
      <c r="G41" s="53" t="inlineStr">
        <is>
          <t>9.91</t>
        </is>
      </c>
    </row>
    <row r="42" ht="22" customHeight="1">
      <c r="B42" s="54" t="inlineStr">
        <is>
          <t>Annual Net  (3 crops × Gross Profit − Capital once)</t>
        </is>
      </c>
      <c r="G42" s="42" t="inlineStr">
        <is>
          <t>35.54 lakh/yr</t>
        </is>
      </c>
    </row>
    <row r="43" ht="22" customHeight="1">
      <c r="B43" s="55" t="inlineStr">
        <is>
          <t>Return on Investment  (Annual Net ÷ Total Investment × 100)</t>
        </is>
      </c>
      <c r="G43" s="56" t="inlineStr">
        <is>
          <t>420.4%</t>
        </is>
      </c>
    </row>
    <row r="45" ht="24" customHeight="1">
      <c r="B45" s="57" t="inlineStr">
        <is>
          <t>📝  NOTES, ASSUMPTIONS &amp; DATA SOURCES</t>
        </is>
      </c>
    </row>
    <row r="46" ht="80" customHeight="1">
      <c r="B46" s="58" t="inlineStr">
        <is>
          <t>Source: MDPI Tilapia India 2023; Agrifarming.in; WorldFish GIFT strain data.
ABW=450g, Survival=85%, 2–3 crops/year. Market ₹120–200/kg (used ₹160).
Monosex (all-male) culture mandatory to prevent overbreeding and stunting.
TiPV disease (Tilapia Parvovirus) caused 40-50% mortality in Tamil Nadu 2023.
Approved seed producers: Aresen Bio Tech (AP), CP Aqua (Chennai), RGCA.
FCR ≈ 1.8–2.2. Government permit required for monosex production.</t>
        </is>
      </c>
    </row>
    <row r="47"/>
    <row r="48"/>
    <row r="49"/>
    <row r="50"/>
  </sheetData>
  <mergeCells count="31">
    <mergeCell ref="B2:G2"/>
    <mergeCell ref="B46:G50"/>
    <mergeCell ref="B7:C7"/>
    <mergeCell ref="B1:G1"/>
    <mergeCell ref="E7"/>
    <mergeCell ref="F6:G6"/>
    <mergeCell ref="D5"/>
    <mergeCell ref="F7:G7"/>
    <mergeCell ref="B19:G19"/>
    <mergeCell ref="B34:G34"/>
    <mergeCell ref="B43:F43"/>
    <mergeCell ref="B10:G10"/>
    <mergeCell ref="B39:F39"/>
    <mergeCell ref="B42:F42"/>
    <mergeCell ref="F5:G5"/>
    <mergeCell ref="B17:F17"/>
    <mergeCell ref="E5"/>
    <mergeCell ref="B38:F38"/>
    <mergeCell ref="B45:G45"/>
    <mergeCell ref="D6"/>
    <mergeCell ref="B37:F37"/>
    <mergeCell ref="B4:G4"/>
    <mergeCell ref="B40:F40"/>
    <mergeCell ref="B30:F30"/>
    <mergeCell ref="B6:C6"/>
    <mergeCell ref="B5:C5"/>
    <mergeCell ref="D7"/>
    <mergeCell ref="E6"/>
    <mergeCell ref="B36:F36"/>
    <mergeCell ref="B32:F32"/>
    <mergeCell ref="B41:F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52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20" customWidth="1" min="5" max="5"/>
    <col width="16" customWidth="1" min="6" max="6"/>
    <col width="18" customWidth="1" min="7" max="7"/>
    <col width="5" customWidth="1" min="8" max="8"/>
  </cols>
  <sheetData>
    <row r="1" ht="40" customHeight="1">
      <c r="B1" s="21" t="inlineStr">
        <is>
          <t>🐟  BLACK TIGER SHRIMP (JUMBO TIGER / BTS)  —  DETAILED INVESTMENT &amp; ECONOMICS  (INDIA, 1 HECTARE)</t>
        </is>
      </c>
    </row>
    <row r="2" ht="18" customHeight="1">
      <c r="B2" s="2" t="inlineStr">
        <is>
          <t>Penaeus monodon  |  Semi-intensive Brackish Pond  |  Water: Brackish / Marine (10–30 ppt)</t>
        </is>
      </c>
    </row>
    <row r="4" ht="24" customHeight="1">
      <c r="B4" s="22" t="inlineStr">
        <is>
          <t>🔑  KEY BIOLOGICAL &amp; ECONOMIC PARAMETERS</t>
        </is>
      </c>
    </row>
    <row r="5" ht="20" customHeight="1">
      <c r="B5" s="18" t="inlineStr">
        <is>
          <t>Culture Duration</t>
        </is>
      </c>
      <c r="D5" s="23" t="inlineStr">
        <is>
          <t>5 months</t>
        </is>
      </c>
      <c r="E5" s="18" t="inlineStr">
        <is>
          <t>Avg. Body Weight at Harvest</t>
        </is>
      </c>
      <c r="F5" s="23" t="inlineStr">
        <is>
          <t>25 g</t>
        </is>
      </c>
    </row>
    <row r="6" ht="20" customHeight="1">
      <c r="B6" s="18" t="inlineStr">
        <is>
          <t>Survival Rate</t>
        </is>
      </c>
      <c r="D6" s="23" t="inlineStr">
        <is>
          <t>70%</t>
        </is>
      </c>
      <c r="E6" s="18" t="inlineStr">
        <is>
          <t>Stocking Density</t>
        </is>
      </c>
      <c r="F6" s="23" t="inlineStr">
        <is>
          <t>200,000 / Ha</t>
        </is>
      </c>
    </row>
    <row r="7" ht="20" customHeight="1">
      <c r="B7" s="18" t="inlineStr">
        <is>
          <t>Market Price (approx.)</t>
        </is>
      </c>
      <c r="D7" s="23" t="inlineStr">
        <is>
          <t>₹ 600 / kg</t>
        </is>
      </c>
      <c r="E7" s="18" t="inlineStr">
        <is>
          <t>Crops per Year</t>
        </is>
      </c>
      <c r="F7" s="23" t="inlineStr">
        <is>
          <t>2</t>
        </is>
      </c>
    </row>
    <row r="9" ht="6" customHeight="1"/>
    <row r="10" ht="26" customHeight="1">
      <c r="B10" s="24" t="inlineStr">
        <is>
          <t>🏗️  SECTION A — CAPITAL INVESTMENT  (One-time / Infrastructure Costs)</t>
        </is>
      </c>
    </row>
    <row r="11" ht="32" customHeight="1">
      <c r="B11" s="25" t="inlineStr">
        <is>
          <t>Sl.No</t>
        </is>
      </c>
      <c r="C11" s="25" t="inlineStr">
        <is>
          <t>Item / Description</t>
        </is>
      </c>
      <c r="D11" s="25" t="inlineStr">
        <is>
          <t>Quantity</t>
        </is>
      </c>
      <c r="E11" s="25" t="inlineStr">
        <is>
          <t>Unit / Rate</t>
        </is>
      </c>
      <c r="F11" s="25" t="inlineStr">
        <is>
          <t>Unit Price (₹)</t>
        </is>
      </c>
      <c r="G11" s="25" t="inlineStr">
        <is>
          <t>Total (₹ lakh)</t>
        </is>
      </c>
    </row>
    <row r="12" ht="18" customHeight="1">
      <c r="B12" s="12" t="n">
        <v>1</v>
      </c>
      <c r="C12" s="10" t="inlineStr">
        <is>
          <t>Pond Construction / Lining</t>
        </is>
      </c>
      <c r="D12" s="12" t="inlineStr">
        <is>
          <t>1 Ha</t>
        </is>
      </c>
      <c r="E12" s="12" t="inlineStr">
        <is>
          <t>lumpsum</t>
        </is>
      </c>
      <c r="F12" s="26" t="n">
        <v>400000</v>
      </c>
      <c r="G12" s="27" t="n">
        <v>4</v>
      </c>
    </row>
    <row r="13" ht="18" customHeight="1">
      <c r="B13" s="28" t="n">
        <v>2</v>
      </c>
      <c r="C13" s="29" t="inlineStr">
        <is>
          <t>Water Inlet / Outlet Sluice</t>
        </is>
      </c>
      <c r="D13" s="28" t="inlineStr">
        <is>
          <t>1 set</t>
        </is>
      </c>
      <c r="E13" s="28" t="inlineStr">
        <is>
          <t>lumpsum</t>
        </is>
      </c>
      <c r="F13" s="30" t="n">
        <v>70000</v>
      </c>
      <c r="G13" s="31" t="n">
        <v>0.7</v>
      </c>
    </row>
    <row r="14" ht="18" customHeight="1">
      <c r="B14" s="12" t="n">
        <v>3</v>
      </c>
      <c r="C14" s="10" t="inlineStr">
        <is>
          <t>Aerators (paddle wheel, 1 HP × 6)</t>
        </is>
      </c>
      <c r="D14" s="12" t="inlineStr">
        <is>
          <t>6 units</t>
        </is>
      </c>
      <c r="E14" s="12" t="inlineStr">
        <is>
          <t>unit</t>
        </is>
      </c>
      <c r="F14" s="26" t="n">
        <v>18000</v>
      </c>
      <c r="G14" s="27" t="n">
        <v>1.08</v>
      </c>
    </row>
    <row r="15" ht="18" customHeight="1">
      <c r="B15" s="28" t="n">
        <v>4</v>
      </c>
      <c r="C15" s="29" t="inlineStr">
        <is>
          <t>Generator</t>
        </is>
      </c>
      <c r="D15" s="28" t="inlineStr">
        <is>
          <t>1 unit</t>
        </is>
      </c>
      <c r="E15" s="28" t="inlineStr">
        <is>
          <t>unit</t>
        </is>
      </c>
      <c r="F15" s="30" t="n">
        <v>100000</v>
      </c>
      <c r="G15" s="31" t="n">
        <v>1</v>
      </c>
    </row>
    <row r="16" ht="18" customHeight="1">
      <c r="B16" s="12" t="n">
        <v>5</v>
      </c>
      <c r="C16" s="10" t="inlineStr">
        <is>
          <t>Water Pump (5 HP)</t>
        </is>
      </c>
      <c r="D16" s="12" t="inlineStr">
        <is>
          <t>1 unit</t>
        </is>
      </c>
      <c r="E16" s="12" t="inlineStr">
        <is>
          <t>unit</t>
        </is>
      </c>
      <c r="F16" s="26" t="n">
        <v>35000</v>
      </c>
      <c r="G16" s="27" t="n">
        <v>0.35</v>
      </c>
    </row>
    <row r="17" ht="18" customHeight="1">
      <c r="B17" s="28" t="n">
        <v>6</v>
      </c>
      <c r="C17" s="29" t="inlineStr">
        <is>
          <t>Biosecurity &amp; Lab Setup</t>
        </is>
      </c>
      <c r="D17" s="28" t="inlineStr">
        <is>
          <t>1 set</t>
        </is>
      </c>
      <c r="E17" s="28" t="inlineStr">
        <is>
          <t>lumpsum</t>
        </is>
      </c>
      <c r="F17" s="30" t="n">
        <v>40000</v>
      </c>
      <c r="G17" s="31" t="n">
        <v>0.4</v>
      </c>
    </row>
    <row r="18" ht="18" customHeight="1">
      <c r="B18" s="12" t="n">
        <v>7</v>
      </c>
      <c r="C18" s="10" t="inlineStr">
        <is>
          <t>CAA License &amp; Regulatory Fees</t>
        </is>
      </c>
      <c r="D18" s="12" t="inlineStr">
        <is>
          <t>1 time</t>
        </is>
      </c>
      <c r="E18" s="12" t="inlineStr">
        <is>
          <t>lumpsum</t>
        </is>
      </c>
      <c r="F18" s="26" t="n">
        <v>15000</v>
      </c>
      <c r="G18" s="27" t="n">
        <v>0.15</v>
      </c>
    </row>
    <row r="19" ht="24" customHeight="1">
      <c r="B19" s="32" t="inlineStr">
        <is>
          <t>TOTAL CAPITAL INVESTMENT (A)</t>
        </is>
      </c>
      <c r="G19" s="33" t="n">
        <v>7.68</v>
      </c>
    </row>
    <row r="21" ht="26" customHeight="1">
      <c r="B21" s="34" t="inlineStr">
        <is>
          <t>⚙️  SECTION B — OPERATIONAL COSTS  (Per Crop Recurring Costs)</t>
        </is>
      </c>
    </row>
    <row r="22" ht="32" customHeight="1">
      <c r="B22" s="35" t="inlineStr">
        <is>
          <t>Sl.No</t>
        </is>
      </c>
      <c r="C22" s="35" t="inlineStr">
        <is>
          <t>Item / Description</t>
        </is>
      </c>
      <c r="D22" s="35" t="inlineStr">
        <is>
          <t>Quantity</t>
        </is>
      </c>
      <c r="E22" s="35" t="inlineStr">
        <is>
          <t>Unit / Rate</t>
        </is>
      </c>
      <c r="F22" s="35" t="inlineStr">
        <is>
          <t>Unit Price (₹)</t>
        </is>
      </c>
      <c r="G22" s="35" t="inlineStr">
        <is>
          <t>Total (₹ lakh)</t>
        </is>
      </c>
    </row>
    <row r="23" ht="18" customHeight="1">
      <c r="B23" s="12" t="n">
        <v>1</v>
      </c>
      <c r="C23" s="10" t="inlineStr">
        <is>
          <t>Post-Larvae (PL-15 SPF)</t>
        </is>
      </c>
      <c r="D23" s="12" t="inlineStr">
        <is>
          <t>2,00,000</t>
        </is>
      </c>
      <c r="E23" s="12" t="inlineStr">
        <is>
          <t>@ ₹1.5/PL</t>
        </is>
      </c>
      <c r="F23" s="26" t="n">
        <v>1.5</v>
      </c>
      <c r="G23" s="27" t="n">
        <v>3</v>
      </c>
    </row>
    <row r="24" ht="18" customHeight="1">
      <c r="B24" s="28" t="n">
        <v>2</v>
      </c>
      <c r="C24" s="29" t="inlineStr">
        <is>
          <t>Shrimp Feed (35–40% protein)</t>
        </is>
      </c>
      <c r="D24" s="28" t="inlineStr">
        <is>
          <t>5.2 tons</t>
        </is>
      </c>
      <c r="E24" s="28" t="inlineStr">
        <is>
          <t>@ ₹70k/ton</t>
        </is>
      </c>
      <c r="F24" s="30" t="n">
        <v>70000</v>
      </c>
      <c r="G24" s="31" t="n">
        <v>3.67</v>
      </c>
    </row>
    <row r="25" ht="18" customHeight="1">
      <c r="B25" s="12" t="n">
        <v>3</v>
      </c>
      <c r="C25" s="10" t="inlineStr">
        <is>
          <t>Probiotics &amp; Biosecurity Inputs</t>
        </is>
      </c>
      <c r="D25" s="12" t="inlineStr">
        <is>
          <t>Assumed</t>
        </is>
      </c>
      <c r="E25" s="12" t="inlineStr">
        <is>
          <t>lumpsum</t>
        </is>
      </c>
      <c r="F25" s="36" t="inlineStr">
        <is>
          <t>—</t>
        </is>
      </c>
      <c r="G25" s="27" t="n">
        <v>1</v>
      </c>
    </row>
    <row r="26" ht="18" customHeight="1">
      <c r="B26" s="28" t="n">
        <v>4</v>
      </c>
      <c r="C26" s="29" t="inlineStr">
        <is>
          <t>Pond Preparation (Lime, Bleach)</t>
        </is>
      </c>
      <c r="D26" s="28" t="inlineStr">
        <is>
          <t>Assumed</t>
        </is>
      </c>
      <c r="E26" s="28" t="inlineStr">
        <is>
          <t>lumpsum</t>
        </is>
      </c>
      <c r="F26" s="37" t="inlineStr">
        <is>
          <t>—</t>
        </is>
      </c>
      <c r="G26" s="31" t="n">
        <v>0.8</v>
      </c>
    </row>
    <row r="27" ht="18" customHeight="1">
      <c r="B27" s="12" t="n">
        <v>5</v>
      </c>
      <c r="C27" s="10" t="inlineStr">
        <is>
          <t>Medicines &amp; Disease Management</t>
        </is>
      </c>
      <c r="D27" s="12" t="inlineStr">
        <is>
          <t>Assumed</t>
        </is>
      </c>
      <c r="E27" s="12" t="inlineStr">
        <is>
          <t>lumpsum</t>
        </is>
      </c>
      <c r="F27" s="36" t="inlineStr">
        <is>
          <t>—</t>
        </is>
      </c>
      <c r="G27" s="27" t="n">
        <v>1.2</v>
      </c>
    </row>
    <row r="28" ht="18" customHeight="1">
      <c r="B28" s="28" t="n">
        <v>6</v>
      </c>
      <c r="C28" s="29" t="inlineStr">
        <is>
          <t>Electricity (continuous aeration)</t>
        </is>
      </c>
      <c r="D28" s="28" t="inlineStr">
        <is>
          <t>5 mo</t>
        </is>
      </c>
      <c r="E28" s="28" t="inlineStr">
        <is>
          <t>@ ₹16k/mo</t>
        </is>
      </c>
      <c r="F28" s="30" t="n">
        <v>16000</v>
      </c>
      <c r="G28" s="31" t="n">
        <v>0.8</v>
      </c>
    </row>
    <row r="29" ht="18" customHeight="1">
      <c r="B29" s="12" t="n">
        <v>7</v>
      </c>
      <c r="C29" s="10" t="inlineStr">
        <is>
          <t>Labour (3 workers)</t>
        </is>
      </c>
      <c r="D29" s="12" t="inlineStr">
        <is>
          <t>5 mo</t>
        </is>
      </c>
      <c r="E29" s="12" t="inlineStr">
        <is>
          <t>@ ₹10k/mo</t>
        </is>
      </c>
      <c r="F29" s="26" t="n">
        <v>10000</v>
      </c>
      <c r="G29" s="27" t="n">
        <v>1.5</v>
      </c>
    </row>
    <row r="30" ht="18" customHeight="1">
      <c r="B30" s="28" t="n">
        <v>8</v>
      </c>
      <c r="C30" s="29" t="inlineStr">
        <is>
          <t>Harvesting, Ice &amp; Cold Chain</t>
        </is>
      </c>
      <c r="D30" s="28" t="inlineStr">
        <is>
          <t>Assumed</t>
        </is>
      </c>
      <c r="E30" s="28" t="inlineStr">
        <is>
          <t>lumpsum</t>
        </is>
      </c>
      <c r="F30" s="37" t="inlineStr">
        <is>
          <t>—</t>
        </is>
      </c>
      <c r="G30" s="31" t="n">
        <v>0.8</v>
      </c>
    </row>
    <row r="31" ht="18" customHeight="1">
      <c r="B31" s="12" t="n">
        <v>9</v>
      </c>
      <c r="C31" s="10" t="inlineStr">
        <is>
          <t>Miscellaneous / Contingency</t>
        </is>
      </c>
      <c r="D31" s="12" t="inlineStr">
        <is>
          <t>Assumed</t>
        </is>
      </c>
      <c r="E31" s="12" t="inlineStr">
        <is>
          <t>lumpsum</t>
        </is>
      </c>
      <c r="F31" s="36" t="inlineStr">
        <is>
          <t>—</t>
        </is>
      </c>
      <c r="G31" s="27" t="n">
        <v>0.55</v>
      </c>
    </row>
    <row r="32" ht="24" customHeight="1">
      <c r="B32" s="38" t="inlineStr">
        <is>
          <t>TOTAL OPERATIONAL COST (B)</t>
        </is>
      </c>
      <c r="G32" s="39" t="n">
        <v>13.32</v>
      </c>
    </row>
    <row r="34" ht="26" customHeight="1">
      <c r="B34" s="40" t="inlineStr">
        <is>
          <t>💰  TOTAL INVESTMENT  (A + B = Capital + Operational)</t>
        </is>
      </c>
      <c r="G34" s="41" t="n">
        <v>21</v>
      </c>
    </row>
    <row r="36" ht="26" customHeight="1">
      <c r="B36" s="42" t="inlineStr">
        <is>
          <t>📊  PROFIT &amp; LOSS ANALYSIS</t>
        </is>
      </c>
    </row>
    <row r="37" ht="32" customHeight="1">
      <c r="B37" s="43" t="inlineStr"/>
      <c r="C37" s="43" t="inlineStr">
        <is>
          <t>Description</t>
        </is>
      </c>
      <c r="D37" s="43" t="inlineStr"/>
      <c r="E37" s="43" t="inlineStr"/>
      <c r="F37" s="43" t="inlineStr"/>
      <c r="G37" s="43" t="inlineStr">
        <is>
          <t>Amount (₹ lakh)</t>
        </is>
      </c>
    </row>
    <row r="38" ht="22" customHeight="1">
      <c r="B38" s="44" t="inlineStr">
        <is>
          <t>Estimated Production</t>
        </is>
      </c>
      <c r="G38" s="45" t="inlineStr"/>
    </row>
    <row r="39" ht="22" customHeight="1">
      <c r="B39" s="46" t="inlineStr">
        <is>
          <t>Gross Revenue  (3,500 kg × ₹600/kg)</t>
        </is>
      </c>
      <c r="G39" s="47" t="inlineStr">
        <is>
          <t>21.00</t>
        </is>
      </c>
    </row>
    <row r="40" ht="22" customHeight="1">
      <c r="B40" s="48" t="inlineStr">
        <is>
          <t>Less: Total Operational Cost (B)</t>
        </is>
      </c>
      <c r="G40" s="49" t="inlineStr">
        <is>
          <t>(13.320)</t>
        </is>
      </c>
    </row>
    <row r="41" ht="22" customHeight="1">
      <c r="B41" s="50">
        <f> GROSS PROFIT  (Revenue − Operational)</f>
        <v/>
      </c>
      <c r="G41" s="51" t="inlineStr">
        <is>
          <t>7.68</t>
        </is>
      </c>
    </row>
    <row r="42" ht="22" customHeight="1">
      <c r="B42" s="48" t="inlineStr">
        <is>
          <t>Less: Capital Investment (A)</t>
        </is>
      </c>
      <c r="G42" s="49" t="inlineStr">
        <is>
          <t>(7.680)</t>
        </is>
      </c>
    </row>
    <row r="43" ht="22" customHeight="1">
      <c r="B43" s="52">
        <f> NET PROFIT / CROP  (Gross Profit − Capital)</f>
        <v/>
      </c>
      <c r="G43" s="53" t="inlineStr">
        <is>
          <t>0.00</t>
        </is>
      </c>
    </row>
    <row r="44" ht="22" customHeight="1">
      <c r="B44" s="54" t="inlineStr">
        <is>
          <t>Annual Net  (2 crops × Gross Profit − Capital once)</t>
        </is>
      </c>
      <c r="G44" s="42" t="inlineStr">
        <is>
          <t>7.68 lakh/yr</t>
        </is>
      </c>
    </row>
    <row r="45" ht="22" customHeight="1">
      <c r="B45" s="55" t="inlineStr">
        <is>
          <t>Return on Investment  (Annual Net ÷ Total Investment × 100)</t>
        </is>
      </c>
      <c r="G45" s="56" t="inlineStr">
        <is>
          <t>36.6%</t>
        </is>
      </c>
    </row>
    <row r="47" ht="24" customHeight="1">
      <c r="B47" s="57" t="inlineStr">
        <is>
          <t>📝  NOTES, ASSUMPTIONS &amp; DATA SOURCES</t>
        </is>
      </c>
    </row>
    <row r="48" ht="80" customHeight="1">
      <c r="B48" s="58" t="inlineStr">
        <is>
          <t>Source: PLOS ONE 2021 (Comparative P. monodon vs L. vannamei); MPEDA; Gujarat study.
ABW=25g, Survival=62%, 2 crops/year. Market ₹400–600/kg (used ₹500, premium size).
Net returns ~$16,313/ha/yr ≈ ₹13.6 lakh/ha/yr (PLOS ONE 2021).
Feed accounts for ~80% of variable costs. Less disease-resistant than vannamei.
CAA license mandatory. Major coastal states: AP, TN, Odisha, Gujarat.</t>
        </is>
      </c>
    </row>
    <row r="49"/>
    <row r="50"/>
    <row r="51"/>
    <row r="52"/>
  </sheetData>
  <mergeCells count="31">
    <mergeCell ref="B2:G2"/>
    <mergeCell ref="B7:C7"/>
    <mergeCell ref="B1:G1"/>
    <mergeCell ref="E7"/>
    <mergeCell ref="F6:G6"/>
    <mergeCell ref="B48:G52"/>
    <mergeCell ref="D5"/>
    <mergeCell ref="F7:G7"/>
    <mergeCell ref="B43:F43"/>
    <mergeCell ref="B10:G10"/>
    <mergeCell ref="B39:F39"/>
    <mergeCell ref="B42:F42"/>
    <mergeCell ref="F5:G5"/>
    <mergeCell ref="E5"/>
    <mergeCell ref="B44:F44"/>
    <mergeCell ref="B38:F38"/>
    <mergeCell ref="B36:G36"/>
    <mergeCell ref="B34:F34"/>
    <mergeCell ref="D6"/>
    <mergeCell ref="B19:F19"/>
    <mergeCell ref="B4:G4"/>
    <mergeCell ref="B40:F40"/>
    <mergeCell ref="B47:G47"/>
    <mergeCell ref="B6:C6"/>
    <mergeCell ref="B5:C5"/>
    <mergeCell ref="D7"/>
    <mergeCell ref="E6"/>
    <mergeCell ref="B45:F45"/>
    <mergeCell ref="B32:F32"/>
    <mergeCell ref="B21:G21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2026-03-05T02:24:32Z</dcterms:created>
  <dcterms:modified xmlns:dcterms="http://purl.org/dc/terms/" xmlns:xsi="http://www.w3.org/2001/XMLSchema-instance" xsi:type="dcterms:W3CDTF">2026-03-05T02:24:33Z</dcterms:modified>
</cp:coreProperties>
</file>